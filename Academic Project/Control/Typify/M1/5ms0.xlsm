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Typify\M1\"/>
    </mc:Choice>
  </mc:AlternateContent>
  <xr:revisionPtr revIDLastSave="0" documentId="13_ncr:1_{CACE9577-0FDE-401E-B4B8-90971F4CCF0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1" l="1"/>
  <c r="K41" i="1"/>
  <c r="J42" i="1" s="1"/>
  <c r="J41" i="1"/>
  <c r="I47" i="1"/>
  <c r="H47" i="1"/>
  <c r="G47" i="1"/>
  <c r="F4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" i="1"/>
  <c r="K47" i="1" l="1"/>
  <c r="G48" i="1"/>
  <c r="I48" i="1" s="1"/>
  <c r="I49" i="1" s="1"/>
</calcChain>
</file>

<file path=xl/sharedStrings.xml><?xml version="1.0" encoding="utf-8"?>
<sst xmlns="http://schemas.openxmlformats.org/spreadsheetml/2006/main" count="24" uniqueCount="20">
  <si>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</si>
  <si>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</si>
  <si>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</si>
  <si>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</si>
  <si>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</si>
  <si>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</si>
  <si>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</si>
  <si>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</si>
  <si>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</si>
  <si>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</si>
  <si>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</si>
  <si>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</si>
  <si>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</si>
  <si>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</si>
  <si>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</si>
  <si>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</si>
  <si>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</si>
  <si>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</si>
  <si>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</si>
  <si>
    <t>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</si>
</sst>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18</c:v>
                </c:pt>
                <c:pt idx="2">
                  <c:v>37</c:v>
                </c:pt>
                <c:pt idx="3">
                  <c:v>56</c:v>
                </c:pt>
                <c:pt idx="4">
                  <c:v>74</c:v>
                </c:pt>
                <c:pt idx="5">
                  <c:v>93</c:v>
                </c:pt>
                <c:pt idx="6">
                  <c:v>112</c:v>
                </c:pt>
                <c:pt idx="7">
                  <c:v>131</c:v>
                </c:pt>
                <c:pt idx="8">
                  <c:v>149</c:v>
                </c:pt>
                <c:pt idx="9">
                  <c:v>168</c:v>
                </c:pt>
                <c:pt idx="10">
                  <c:v>187</c:v>
                </c:pt>
                <c:pt idx="11">
                  <c:v>206</c:v>
                </c:pt>
                <c:pt idx="12">
                  <c:v>224</c:v>
                </c:pt>
                <c:pt idx="13">
                  <c:v>243</c:v>
                </c:pt>
                <c:pt idx="14">
                  <c:v>262</c:v>
                </c:pt>
                <c:pt idx="15">
                  <c:v>280</c:v>
                </c:pt>
                <c:pt idx="16">
                  <c:v>299</c:v>
                </c:pt>
                <c:pt idx="17">
                  <c:v>318</c:v>
                </c:pt>
                <c:pt idx="18">
                  <c:v>337</c:v>
                </c:pt>
                <c:pt idx="19">
                  <c:v>355</c:v>
                </c:pt>
                <c:pt idx="20">
                  <c:v>373</c:v>
                </c:pt>
                <c:pt idx="21">
                  <c:v>393</c:v>
                </c:pt>
                <c:pt idx="22">
                  <c:v>411</c:v>
                </c:pt>
                <c:pt idx="23">
                  <c:v>430</c:v>
                </c:pt>
                <c:pt idx="24">
                  <c:v>449</c:v>
                </c:pt>
                <c:pt idx="25">
                  <c:v>468</c:v>
                </c:pt>
                <c:pt idx="26">
                  <c:v>486</c:v>
                </c:pt>
                <c:pt idx="27">
                  <c:v>505</c:v>
                </c:pt>
                <c:pt idx="28">
                  <c:v>524</c:v>
                </c:pt>
                <c:pt idx="29">
                  <c:v>542</c:v>
                </c:pt>
                <c:pt idx="30">
                  <c:v>561</c:v>
                </c:pt>
                <c:pt idx="31">
                  <c:v>580</c:v>
                </c:pt>
                <c:pt idx="32">
                  <c:v>598</c:v>
                </c:pt>
                <c:pt idx="33">
                  <c:v>615</c:v>
                </c:pt>
                <c:pt idx="34">
                  <c:v>633</c:v>
                </c:pt>
                <c:pt idx="35">
                  <c:v>651</c:v>
                </c:pt>
                <c:pt idx="36">
                  <c:v>668</c:v>
                </c:pt>
                <c:pt idx="37">
                  <c:v>686</c:v>
                </c:pt>
                <c:pt idx="38">
                  <c:v>703</c:v>
                </c:pt>
                <c:pt idx="39">
                  <c:v>722</c:v>
                </c:pt>
                <c:pt idx="40">
                  <c:v>739</c:v>
                </c:pt>
                <c:pt idx="41">
                  <c:v>756</c:v>
                </c:pt>
                <c:pt idx="42">
                  <c:v>774</c:v>
                </c:pt>
                <c:pt idx="43">
                  <c:v>792</c:v>
                </c:pt>
                <c:pt idx="44">
                  <c:v>810</c:v>
                </c:pt>
                <c:pt idx="45">
                  <c:v>827</c:v>
                </c:pt>
                <c:pt idx="46">
                  <c:v>846</c:v>
                </c:pt>
                <c:pt idx="47">
                  <c:v>863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14</c:v>
                </c:pt>
                <c:pt idx="10">
                  <c:v>16</c:v>
                </c:pt>
                <c:pt idx="11">
                  <c:v>19</c:v>
                </c:pt>
                <c:pt idx="12">
                  <c:v>21</c:v>
                </c:pt>
                <c:pt idx="13">
                  <c:v>23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41</c:v>
                </c:pt>
                <c:pt idx="21">
                  <c:v>44</c:v>
                </c:pt>
                <c:pt idx="22">
                  <c:v>47</c:v>
                </c:pt>
                <c:pt idx="23">
                  <c:v>51</c:v>
                </c:pt>
                <c:pt idx="24">
                  <c:v>54</c:v>
                </c:pt>
                <c:pt idx="25">
                  <c:v>58</c:v>
                </c:pt>
                <c:pt idx="26">
                  <c:v>62</c:v>
                </c:pt>
                <c:pt idx="27">
                  <c:v>66</c:v>
                </c:pt>
                <c:pt idx="28">
                  <c:v>70</c:v>
                </c:pt>
                <c:pt idx="29">
                  <c:v>74</c:v>
                </c:pt>
                <c:pt idx="30">
                  <c:v>78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130</c:v>
                </c:pt>
                <c:pt idx="40">
                  <c:v>137</c:v>
                </c:pt>
                <c:pt idx="41">
                  <c:v>144</c:v>
                </c:pt>
                <c:pt idx="42">
                  <c:v>151</c:v>
                </c:pt>
                <c:pt idx="43">
                  <c:v>159</c:v>
                </c:pt>
                <c:pt idx="44">
                  <c:v>166</c:v>
                </c:pt>
                <c:pt idx="45">
                  <c:v>174</c:v>
                </c:pt>
                <c:pt idx="46">
                  <c:v>181</c:v>
                </c:pt>
                <c:pt idx="47">
                  <c:v>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74"/>
  <sheetViews>
    <sheetView tabSelected="1" topLeftCell="A43" workbookViewId="0">
      <selection activeCell="L49" sqref="L49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-89</v>
      </c>
      <c r="B2" s="14">
        <v>2654</v>
      </c>
      <c r="C2" s="15">
        <f>A2+89</f>
        <v>0</v>
      </c>
      <c r="D2" s="14">
        <f>B2-2654</f>
        <v>0</v>
      </c>
    </row>
    <row r="3" spans="1:10" x14ac:dyDescent="0.25">
      <c r="A3" s="15">
        <v>-88</v>
      </c>
      <c r="B3" s="14">
        <v>2672</v>
      </c>
      <c r="C3" s="15">
        <f t="shared" ref="C3:C49" si="0">A3+89</f>
        <v>1</v>
      </c>
      <c r="D3" s="14">
        <f t="shared" ref="D3:D49" si="1">B3-2654</f>
        <v>18</v>
      </c>
    </row>
    <row r="4" spans="1:10" x14ac:dyDescent="0.25">
      <c r="A4" s="15">
        <v>-87</v>
      </c>
      <c r="B4" s="14">
        <v>2691</v>
      </c>
      <c r="C4" s="15">
        <f t="shared" si="0"/>
        <v>2</v>
      </c>
      <c r="D4" s="14">
        <f t="shared" si="1"/>
        <v>37</v>
      </c>
    </row>
    <row r="5" spans="1:10" x14ac:dyDescent="0.25">
      <c r="A5" s="15">
        <v>-85</v>
      </c>
      <c r="B5" s="14">
        <v>2710</v>
      </c>
      <c r="C5" s="15">
        <f t="shared" si="0"/>
        <v>4</v>
      </c>
      <c r="D5" s="14">
        <f t="shared" si="1"/>
        <v>56</v>
      </c>
    </row>
    <row r="6" spans="1:10" x14ac:dyDescent="0.25">
      <c r="A6" s="15">
        <v>-84</v>
      </c>
      <c r="B6" s="14">
        <v>2728</v>
      </c>
      <c r="C6" s="15">
        <f t="shared" si="0"/>
        <v>5</v>
      </c>
      <c r="D6" s="14">
        <f t="shared" si="1"/>
        <v>74</v>
      </c>
    </row>
    <row r="7" spans="1:10" x14ac:dyDescent="0.25">
      <c r="A7" s="15">
        <v>-82</v>
      </c>
      <c r="B7" s="14">
        <v>2747</v>
      </c>
      <c r="C7" s="15">
        <f t="shared" si="0"/>
        <v>7</v>
      </c>
      <c r="D7" s="14">
        <f t="shared" si="1"/>
        <v>93</v>
      </c>
    </row>
    <row r="8" spans="1:10" x14ac:dyDescent="0.25">
      <c r="A8" s="15">
        <v>-80</v>
      </c>
      <c r="B8" s="14">
        <v>2766</v>
      </c>
      <c r="C8" s="15">
        <f t="shared" si="0"/>
        <v>9</v>
      </c>
      <c r="D8" s="14">
        <f t="shared" si="1"/>
        <v>112</v>
      </c>
    </row>
    <row r="9" spans="1:10" x14ac:dyDescent="0.25">
      <c r="A9" s="15">
        <v>-79</v>
      </c>
      <c r="B9" s="14">
        <v>2785</v>
      </c>
      <c r="C9" s="15">
        <f t="shared" si="0"/>
        <v>10</v>
      </c>
      <c r="D9" s="14">
        <f t="shared" si="1"/>
        <v>131</v>
      </c>
    </row>
    <row r="10" spans="1:10" x14ac:dyDescent="0.25">
      <c r="A10" s="15">
        <v>-77</v>
      </c>
      <c r="B10" s="14">
        <v>2803</v>
      </c>
      <c r="C10" s="15">
        <f t="shared" si="0"/>
        <v>12</v>
      </c>
      <c r="D10" s="14">
        <f t="shared" si="1"/>
        <v>149</v>
      </c>
    </row>
    <row r="11" spans="1:10" x14ac:dyDescent="0.25">
      <c r="A11" s="15">
        <v>-75</v>
      </c>
      <c r="B11" s="14">
        <v>2822</v>
      </c>
      <c r="C11" s="15">
        <f t="shared" si="0"/>
        <v>14</v>
      </c>
      <c r="D11" s="14">
        <f t="shared" si="1"/>
        <v>168</v>
      </c>
    </row>
    <row r="12" spans="1:10" x14ac:dyDescent="0.25">
      <c r="A12" s="15">
        <v>-73</v>
      </c>
      <c r="B12" s="14">
        <v>2841</v>
      </c>
      <c r="C12" s="15">
        <f t="shared" si="0"/>
        <v>16</v>
      </c>
      <c r="D12" s="14">
        <f t="shared" si="1"/>
        <v>187</v>
      </c>
    </row>
    <row r="13" spans="1:10" x14ac:dyDescent="0.25">
      <c r="A13" s="15">
        <v>-70</v>
      </c>
      <c r="B13" s="14">
        <v>2860</v>
      </c>
      <c r="C13" s="15">
        <f t="shared" si="0"/>
        <v>19</v>
      </c>
      <c r="D13" s="14">
        <f t="shared" si="1"/>
        <v>206</v>
      </c>
    </row>
    <row r="14" spans="1:10" x14ac:dyDescent="0.25">
      <c r="A14" s="15">
        <v>-68</v>
      </c>
      <c r="B14" s="14">
        <v>2878</v>
      </c>
      <c r="C14" s="15">
        <f t="shared" si="0"/>
        <v>21</v>
      </c>
      <c r="D14" s="14">
        <f t="shared" si="1"/>
        <v>224</v>
      </c>
    </row>
    <row r="15" spans="1:10" x14ac:dyDescent="0.25">
      <c r="A15" s="15">
        <v>-66</v>
      </c>
      <c r="B15" s="14">
        <v>2897</v>
      </c>
      <c r="C15" s="15">
        <f t="shared" si="0"/>
        <v>23</v>
      </c>
      <c r="D15" s="14">
        <f t="shared" si="1"/>
        <v>243</v>
      </c>
    </row>
    <row r="16" spans="1:10" x14ac:dyDescent="0.25">
      <c r="A16" s="15">
        <v>-63</v>
      </c>
      <c r="B16" s="14">
        <v>2916</v>
      </c>
      <c r="C16" s="15">
        <f t="shared" si="0"/>
        <v>26</v>
      </c>
      <c r="D16" s="14">
        <f t="shared" si="1"/>
        <v>262</v>
      </c>
    </row>
    <row r="17" spans="1:4" x14ac:dyDescent="0.25">
      <c r="A17" s="15">
        <v>-61</v>
      </c>
      <c r="B17" s="14">
        <v>2934</v>
      </c>
      <c r="C17" s="15">
        <f t="shared" si="0"/>
        <v>28</v>
      </c>
      <c r="D17" s="14">
        <f t="shared" si="1"/>
        <v>280</v>
      </c>
    </row>
    <row r="18" spans="1:4" x14ac:dyDescent="0.25">
      <c r="A18" s="15">
        <v>-59</v>
      </c>
      <c r="B18" s="14">
        <v>2953</v>
      </c>
      <c r="C18" s="15">
        <f t="shared" si="0"/>
        <v>30</v>
      </c>
      <c r="D18" s="14">
        <f t="shared" si="1"/>
        <v>299</v>
      </c>
    </row>
    <row r="19" spans="1:4" x14ac:dyDescent="0.25">
      <c r="A19" s="15">
        <v>-56</v>
      </c>
      <c r="B19" s="14">
        <v>2972</v>
      </c>
      <c r="C19" s="15">
        <f t="shared" si="0"/>
        <v>33</v>
      </c>
      <c r="D19" s="14">
        <f t="shared" si="1"/>
        <v>318</v>
      </c>
    </row>
    <row r="20" spans="1:4" x14ac:dyDescent="0.25">
      <c r="A20" s="15">
        <v>-53</v>
      </c>
      <c r="B20" s="14">
        <v>2991</v>
      </c>
      <c r="C20" s="15">
        <f t="shared" si="0"/>
        <v>36</v>
      </c>
      <c r="D20" s="14">
        <f t="shared" si="1"/>
        <v>337</v>
      </c>
    </row>
    <row r="21" spans="1:4" x14ac:dyDescent="0.25">
      <c r="A21" s="15">
        <v>-50</v>
      </c>
      <c r="B21" s="14">
        <v>3009</v>
      </c>
      <c r="C21" s="15">
        <f t="shared" si="0"/>
        <v>39</v>
      </c>
      <c r="D21" s="14">
        <f t="shared" si="1"/>
        <v>355</v>
      </c>
    </row>
    <row r="22" spans="1:4" x14ac:dyDescent="0.25">
      <c r="A22" s="15">
        <v>-48</v>
      </c>
      <c r="B22" s="14">
        <v>3027</v>
      </c>
      <c r="C22" s="15">
        <f t="shared" si="0"/>
        <v>41</v>
      </c>
      <c r="D22" s="14">
        <f t="shared" si="1"/>
        <v>373</v>
      </c>
    </row>
    <row r="23" spans="1:4" x14ac:dyDescent="0.25">
      <c r="A23" s="15">
        <v>-45</v>
      </c>
      <c r="B23" s="14">
        <v>3047</v>
      </c>
      <c r="C23" s="15">
        <f t="shared" si="0"/>
        <v>44</v>
      </c>
      <c r="D23" s="14">
        <f t="shared" si="1"/>
        <v>393</v>
      </c>
    </row>
    <row r="24" spans="1:4" x14ac:dyDescent="0.25">
      <c r="A24" s="15">
        <v>-42</v>
      </c>
      <c r="B24" s="14">
        <v>3065</v>
      </c>
      <c r="C24" s="15">
        <f t="shared" si="0"/>
        <v>47</v>
      </c>
      <c r="D24" s="14">
        <f t="shared" si="1"/>
        <v>411</v>
      </c>
    </row>
    <row r="25" spans="1:4" x14ac:dyDescent="0.25">
      <c r="A25" s="15">
        <v>-38</v>
      </c>
      <c r="B25" s="14">
        <v>3084</v>
      </c>
      <c r="C25" s="15">
        <f t="shared" si="0"/>
        <v>51</v>
      </c>
      <c r="D25" s="14">
        <f t="shared" si="1"/>
        <v>430</v>
      </c>
    </row>
    <row r="26" spans="1:4" x14ac:dyDescent="0.25">
      <c r="A26" s="15">
        <v>-35</v>
      </c>
      <c r="B26" s="14">
        <v>3103</v>
      </c>
      <c r="C26" s="15">
        <f t="shared" si="0"/>
        <v>54</v>
      </c>
      <c r="D26" s="14">
        <f t="shared" si="1"/>
        <v>449</v>
      </c>
    </row>
    <row r="27" spans="1:4" x14ac:dyDescent="0.25">
      <c r="A27" s="15">
        <v>-31</v>
      </c>
      <c r="B27" s="14">
        <v>3122</v>
      </c>
      <c r="C27" s="15">
        <f t="shared" si="0"/>
        <v>58</v>
      </c>
      <c r="D27" s="14">
        <f t="shared" si="1"/>
        <v>468</v>
      </c>
    </row>
    <row r="28" spans="1:4" x14ac:dyDescent="0.25">
      <c r="A28" s="15">
        <v>-27</v>
      </c>
      <c r="B28" s="14">
        <v>3140</v>
      </c>
      <c r="C28" s="15">
        <f t="shared" si="0"/>
        <v>62</v>
      </c>
      <c r="D28" s="14">
        <f t="shared" si="1"/>
        <v>486</v>
      </c>
    </row>
    <row r="29" spans="1:4" x14ac:dyDescent="0.25">
      <c r="A29" s="15">
        <v>-23</v>
      </c>
      <c r="B29" s="14">
        <v>3159</v>
      </c>
      <c r="C29" s="15">
        <f t="shared" si="0"/>
        <v>66</v>
      </c>
      <c r="D29" s="14">
        <f t="shared" si="1"/>
        <v>505</v>
      </c>
    </row>
    <row r="30" spans="1:4" x14ac:dyDescent="0.25">
      <c r="A30" s="15">
        <v>-19</v>
      </c>
      <c r="B30" s="14">
        <v>3178</v>
      </c>
      <c r="C30" s="15">
        <f t="shared" si="0"/>
        <v>70</v>
      </c>
      <c r="D30" s="14">
        <f t="shared" si="1"/>
        <v>524</v>
      </c>
    </row>
    <row r="31" spans="1:4" x14ac:dyDescent="0.25">
      <c r="A31" s="15">
        <v>-15</v>
      </c>
      <c r="B31" s="14">
        <v>3196</v>
      </c>
      <c r="C31" s="15">
        <f t="shared" si="0"/>
        <v>74</v>
      </c>
      <c r="D31" s="14">
        <f t="shared" si="1"/>
        <v>542</v>
      </c>
    </row>
    <row r="32" spans="1:4" x14ac:dyDescent="0.25">
      <c r="A32" s="15">
        <v>-11</v>
      </c>
      <c r="B32" s="14">
        <v>3215</v>
      </c>
      <c r="C32" s="15">
        <f t="shared" si="0"/>
        <v>78</v>
      </c>
      <c r="D32" s="14">
        <f t="shared" si="1"/>
        <v>561</v>
      </c>
    </row>
    <row r="33" spans="1:11" x14ac:dyDescent="0.25">
      <c r="A33" s="15">
        <v>-6</v>
      </c>
      <c r="B33" s="14">
        <v>3234</v>
      </c>
      <c r="C33" s="15">
        <f t="shared" si="0"/>
        <v>83</v>
      </c>
      <c r="D33" s="14">
        <f t="shared" si="1"/>
        <v>580</v>
      </c>
    </row>
    <row r="34" spans="1:11" x14ac:dyDescent="0.25">
      <c r="A34" s="15">
        <v>-6</v>
      </c>
      <c r="B34" s="14">
        <v>3252</v>
      </c>
      <c r="C34" s="15">
        <f t="shared" si="0"/>
        <v>83</v>
      </c>
      <c r="D34" s="14">
        <f t="shared" si="1"/>
        <v>598</v>
      </c>
    </row>
    <row r="35" spans="1:11" x14ac:dyDescent="0.25">
      <c r="A35" s="15">
        <v>-6</v>
      </c>
      <c r="B35" s="14">
        <v>3269</v>
      </c>
      <c r="C35" s="15">
        <f t="shared" si="0"/>
        <v>83</v>
      </c>
      <c r="D35" s="14">
        <f t="shared" si="1"/>
        <v>615</v>
      </c>
    </row>
    <row r="36" spans="1:11" x14ac:dyDescent="0.25">
      <c r="A36" s="15">
        <v>-6</v>
      </c>
      <c r="B36" s="14">
        <v>3287</v>
      </c>
      <c r="C36" s="15">
        <f t="shared" si="0"/>
        <v>83</v>
      </c>
      <c r="D36" s="14">
        <f t="shared" si="1"/>
        <v>633</v>
      </c>
    </row>
    <row r="37" spans="1:11" x14ac:dyDescent="0.25">
      <c r="A37" s="15">
        <v>-6</v>
      </c>
      <c r="B37" s="14">
        <v>3305</v>
      </c>
      <c r="C37" s="15">
        <f t="shared" si="0"/>
        <v>83</v>
      </c>
      <c r="D37" s="14">
        <f t="shared" si="1"/>
        <v>651</v>
      </c>
    </row>
    <row r="38" spans="1:11" x14ac:dyDescent="0.25">
      <c r="A38" s="15">
        <v>-6</v>
      </c>
      <c r="B38" s="14">
        <v>3322</v>
      </c>
      <c r="C38" s="15">
        <f t="shared" si="0"/>
        <v>83</v>
      </c>
      <c r="D38" s="14">
        <f t="shared" si="1"/>
        <v>668</v>
      </c>
    </row>
    <row r="39" spans="1:11" x14ac:dyDescent="0.25">
      <c r="A39" s="15">
        <v>-6</v>
      </c>
      <c r="B39" s="14">
        <v>3340</v>
      </c>
      <c r="C39" s="15">
        <f t="shared" si="0"/>
        <v>83</v>
      </c>
      <c r="D39" s="14">
        <f t="shared" si="1"/>
        <v>686</v>
      </c>
    </row>
    <row r="40" spans="1:11" x14ac:dyDescent="0.25">
      <c r="A40" s="15">
        <v>-6</v>
      </c>
      <c r="B40" s="14">
        <v>3357</v>
      </c>
      <c r="C40" s="15">
        <f t="shared" si="0"/>
        <v>83</v>
      </c>
      <c r="D40" s="14">
        <f t="shared" si="1"/>
        <v>703</v>
      </c>
      <c r="K40" t="s">
        <v>19</v>
      </c>
    </row>
    <row r="41" spans="1:11" x14ac:dyDescent="0.25">
      <c r="A41" s="15">
        <v>41</v>
      </c>
      <c r="B41" s="14">
        <v>3376</v>
      </c>
      <c r="C41" s="15">
        <f t="shared" si="0"/>
        <v>130</v>
      </c>
      <c r="D41" s="14">
        <f t="shared" si="1"/>
        <v>722</v>
      </c>
      <c r="I41" s="1" t="s">
        <v>8</v>
      </c>
      <c r="J41" s="1">
        <f>1/490</f>
        <v>2.0408163265306124E-3</v>
      </c>
      <c r="K41">
        <f>175*J41/255</f>
        <v>1.4005602240896359E-3</v>
      </c>
    </row>
    <row r="42" spans="1:11" x14ac:dyDescent="0.25">
      <c r="A42" s="15">
        <v>48</v>
      </c>
      <c r="B42" s="14">
        <v>3393</v>
      </c>
      <c r="C42" s="15">
        <f t="shared" si="0"/>
        <v>137</v>
      </c>
      <c r="D42" s="14">
        <f t="shared" si="1"/>
        <v>739</v>
      </c>
      <c r="J42" s="1">
        <f>SQRT(144*K41/J41)</f>
        <v>9.9410024349541679</v>
      </c>
    </row>
    <row r="43" spans="1:11" x14ac:dyDescent="0.25">
      <c r="A43" s="15">
        <v>55</v>
      </c>
      <c r="B43" s="14">
        <v>3410</v>
      </c>
      <c r="C43" s="15">
        <f t="shared" si="0"/>
        <v>144</v>
      </c>
      <c r="D43" s="14">
        <f t="shared" si="1"/>
        <v>756</v>
      </c>
    </row>
    <row r="44" spans="1:11" x14ac:dyDescent="0.25">
      <c r="A44" s="15">
        <v>62</v>
      </c>
      <c r="B44" s="14">
        <v>3428</v>
      </c>
      <c r="C44" s="15">
        <f t="shared" si="0"/>
        <v>151</v>
      </c>
      <c r="D44" s="14">
        <f t="shared" si="1"/>
        <v>774</v>
      </c>
    </row>
    <row r="45" spans="1:11" x14ac:dyDescent="0.25">
      <c r="A45" s="15">
        <v>70</v>
      </c>
      <c r="B45" s="14">
        <v>3446</v>
      </c>
      <c r="C45" s="15">
        <f t="shared" si="0"/>
        <v>159</v>
      </c>
      <c r="D45" s="14">
        <f t="shared" si="1"/>
        <v>792</v>
      </c>
    </row>
    <row r="46" spans="1:11" x14ac:dyDescent="0.25">
      <c r="A46" s="15">
        <v>77</v>
      </c>
      <c r="B46" s="14">
        <v>3464</v>
      </c>
      <c r="C46" s="15">
        <f t="shared" si="0"/>
        <v>166</v>
      </c>
      <c r="D46" s="14">
        <f t="shared" si="1"/>
        <v>810</v>
      </c>
      <c r="F46" s="15" t="s">
        <v>9</v>
      </c>
      <c r="G46" s="1" t="s">
        <v>10</v>
      </c>
      <c r="H46" s="1" t="s">
        <v>11</v>
      </c>
      <c r="I46" s="1" t="s">
        <v>12</v>
      </c>
      <c r="J46" s="1" t="s">
        <v>13</v>
      </c>
      <c r="K46" s="1" t="s">
        <v>14</v>
      </c>
    </row>
    <row r="47" spans="1:11" x14ac:dyDescent="0.25">
      <c r="A47" s="15">
        <v>85</v>
      </c>
      <c r="B47" s="14">
        <v>3481</v>
      </c>
      <c r="C47" s="15">
        <f t="shared" si="0"/>
        <v>174</v>
      </c>
      <c r="D47" s="14">
        <f t="shared" si="1"/>
        <v>827</v>
      </c>
      <c r="F47" s="14">
        <f>D48</f>
        <v>846</v>
      </c>
      <c r="G47" s="12">
        <f>C48</f>
        <v>181</v>
      </c>
      <c r="H47" s="12">
        <f>D49</f>
        <v>863</v>
      </c>
      <c r="I47" s="12">
        <f>C49</f>
        <v>188</v>
      </c>
      <c r="J47" s="1">
        <v>7.8814749290000004</v>
      </c>
      <c r="K47">
        <f>RADIANS(((G47-I47)/(F47-H47))*1000)</f>
        <v>7.1866498611531213</v>
      </c>
    </row>
    <row r="48" spans="1:11" x14ac:dyDescent="0.25">
      <c r="A48" s="15">
        <v>92</v>
      </c>
      <c r="B48" s="14">
        <v>3500</v>
      </c>
      <c r="C48" s="15">
        <f t="shared" si="0"/>
        <v>181</v>
      </c>
      <c r="D48" s="14">
        <f t="shared" si="1"/>
        <v>846</v>
      </c>
      <c r="F48" s="15" t="s">
        <v>15</v>
      </c>
      <c r="G48" s="1">
        <f>(I47-G47)/(H47-F47)</f>
        <v>0.41176470588235292</v>
      </c>
      <c r="H48" s="1" t="s">
        <v>16</v>
      </c>
      <c r="I48" s="1">
        <f>I47-G48*H47</f>
        <v>-167.35294117647055</v>
      </c>
    </row>
    <row r="49" spans="1:9" x14ac:dyDescent="0.25">
      <c r="A49" s="15">
        <v>99</v>
      </c>
      <c r="B49" s="14">
        <v>3517</v>
      </c>
      <c r="C49" s="15">
        <f t="shared" si="0"/>
        <v>188</v>
      </c>
      <c r="D49" s="14">
        <f t="shared" si="1"/>
        <v>863</v>
      </c>
      <c r="F49" s="15" t="s">
        <v>17</v>
      </c>
      <c r="G49" s="1">
        <f>J47/K47</f>
        <v>1.0966827494411133</v>
      </c>
      <c r="H49" s="1" t="s">
        <v>18</v>
      </c>
      <c r="I49" s="1">
        <f>-I48/G48</f>
        <v>406.42857142857133</v>
      </c>
    </row>
    <row r="50" spans="1:9" x14ac:dyDescent="0.25">
      <c r="D50" s="14"/>
    </row>
    <row r="51" spans="1:9" x14ac:dyDescent="0.25">
      <c r="D51" s="14"/>
    </row>
    <row r="52" spans="1:9" x14ac:dyDescent="0.25">
      <c r="D52" s="14"/>
    </row>
    <row r="53" spans="1:9" x14ac:dyDescent="0.25">
      <c r="D53" s="14"/>
    </row>
    <row r="54" spans="1:9" x14ac:dyDescent="0.25">
      <c r="D54" s="14"/>
    </row>
    <row r="55" spans="1:9" x14ac:dyDescent="0.25">
      <c r="D55" s="14"/>
    </row>
    <row r="56" spans="1:9" x14ac:dyDescent="0.25">
      <c r="D56" s="14"/>
    </row>
    <row r="57" spans="1:9" x14ac:dyDescent="0.25">
      <c r="D57" s="14"/>
    </row>
    <row r="58" spans="1:9" x14ac:dyDescent="0.25">
      <c r="D58" s="14"/>
    </row>
    <row r="59" spans="1:9" x14ac:dyDescent="0.25">
      <c r="D59" s="14"/>
    </row>
    <row r="60" spans="1:9" x14ac:dyDescent="0.25">
      <c r="D60" s="14"/>
    </row>
    <row r="61" spans="1:9" x14ac:dyDescent="0.25">
      <c r="D61" s="14"/>
    </row>
    <row r="62" spans="1:9" x14ac:dyDescent="0.25">
      <c r="D62" s="14"/>
    </row>
    <row r="63" spans="1:9" x14ac:dyDescent="0.25">
      <c r="D63" s="14"/>
    </row>
    <row r="64" spans="1:9" x14ac:dyDescent="0.25">
      <c r="D64" s="14"/>
    </row>
    <row r="65" spans="4:5" x14ac:dyDescent="0.25">
      <c r="D65" s="14"/>
    </row>
    <row r="66" spans="4:5" x14ac:dyDescent="0.25">
      <c r="D66" s="14"/>
    </row>
    <row r="67" spans="4:5" x14ac:dyDescent="0.25">
      <c r="D67" s="14"/>
    </row>
    <row r="68" spans="4:5" x14ac:dyDescent="0.25">
      <c r="D68" s="14"/>
    </row>
    <row r="80" spans="4:5" x14ac:dyDescent="0.25">
      <c r="E80" s="23"/>
    </row>
    <row r="124" spans="3:3" x14ac:dyDescent="0.25">
      <c r="C124" s="23"/>
    </row>
    <row r="153" spans="3:3" x14ac:dyDescent="0.25">
      <c r="C153" s="23"/>
    </row>
    <row r="197" spans="3:3" x14ac:dyDescent="0.25">
      <c r="C197" s="23"/>
    </row>
    <row r="413" spans="3:3" x14ac:dyDescent="0.25">
      <c r="C413" s="23"/>
    </row>
    <row r="457" spans="3:3" x14ac:dyDescent="0.25">
      <c r="C457" s="23"/>
    </row>
    <row r="501" spans="3:3" x14ac:dyDescent="0.25">
      <c r="C501" s="23"/>
    </row>
    <row r="634" spans="3:3" x14ac:dyDescent="0.25">
      <c r="C634" s="23"/>
    </row>
    <row r="678" spans="3:3" x14ac:dyDescent="0.25">
      <c r="C678" s="23"/>
    </row>
    <row r="722" spans="3:3" x14ac:dyDescent="0.25">
      <c r="C722" s="23"/>
    </row>
    <row r="766" spans="3:3" x14ac:dyDescent="0.25">
      <c r="C766" s="23"/>
    </row>
    <row r="810" spans="3:3" x14ac:dyDescent="0.25">
      <c r="C810" s="23"/>
    </row>
    <row r="854" spans="3:3" x14ac:dyDescent="0.25">
      <c r="C854" s="23"/>
    </row>
    <row r="898" spans="3:3" x14ac:dyDescent="0.25">
      <c r="C898" s="23"/>
    </row>
    <row r="942" spans="3:3" x14ac:dyDescent="0.25">
      <c r="C942" s="23"/>
    </row>
    <row r="986" spans="3:3" x14ac:dyDescent="0.25">
      <c r="C986" s="23"/>
    </row>
    <row r="1030" spans="3:3" x14ac:dyDescent="0.25">
      <c r="C1030" s="23"/>
    </row>
    <row r="1074" spans="3:3" x14ac:dyDescent="0.25">
      <c r="C1074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2024-09-09T22:53:45Z</dcterms:modified>
</cp:coreProperties>
</file>