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van\Desktop\Universidad\2024-I\Servomecanismos\Servomechanisms_projects\Control\M1\"/>
    </mc:Choice>
  </mc:AlternateContent>
  <xr:revisionPtr revIDLastSave="0" documentId="13_ncr:1_{A24DE001-484E-40F8-B9C5-FC3476B685A3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8" i="1" l="1"/>
  <c r="H28" i="1"/>
  <c r="G28" i="1"/>
  <c r="F2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2" i="1"/>
  <c r="K28" i="1" l="1"/>
  <c r="G30" i="1" s="1"/>
  <c r="G29" i="1"/>
  <c r="I29" i="1" s="1"/>
  <c r="I30" i="1" s="1"/>
</calcChain>
</file>

<file path=xl/sharedStrings.xml><?xml version="1.0" encoding="utf-8"?>
<sst xmlns="http://schemas.openxmlformats.org/spreadsheetml/2006/main" count="22" uniqueCount="19">
  <si>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</si>
  <si>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</si>
  <si>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</si>
  <si>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</si>
  <si>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</si>
  <si>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</si>
  <si>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</si>
  <si>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Theta_1</t>
  </si>
  <si>
    <t>t</t>
  </si>
  <si>
    <t>x1</t>
  </si>
  <si>
    <t>y1</t>
  </si>
  <si>
    <t>x2</t>
  </si>
  <si>
    <t>y2</t>
  </si>
  <si>
    <t>Vrms</t>
  </si>
  <si>
    <t>W(rad/s)</t>
  </si>
  <si>
    <t>m</t>
  </si>
  <si>
    <t>b</t>
  </si>
  <si>
    <t>Km</t>
  </si>
  <si>
    <t>Tm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</si>
</sst>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CEAB639-99AB-4CE1-8CCA-794AE0DC111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Data'!$D$2:$D$68</c:f>
              <c:numCache>
                <c:formatCode>0.00</c:formatCode>
                <c:ptCount val="67"/>
                <c:pt idx="0">
                  <c:v>0</c:v>
                </c:pt>
                <c:pt idx="1">
                  <c:v>19</c:v>
                </c:pt>
                <c:pt idx="2">
                  <c:v>37</c:v>
                </c:pt>
                <c:pt idx="3">
                  <c:v>57</c:v>
                </c:pt>
                <c:pt idx="4">
                  <c:v>75</c:v>
                </c:pt>
                <c:pt idx="5">
                  <c:v>93</c:v>
                </c:pt>
                <c:pt idx="6">
                  <c:v>112</c:v>
                </c:pt>
                <c:pt idx="7">
                  <c:v>131</c:v>
                </c:pt>
                <c:pt idx="8">
                  <c:v>150</c:v>
                </c:pt>
                <c:pt idx="9">
                  <c:v>168</c:v>
                </c:pt>
                <c:pt idx="10">
                  <c:v>187</c:v>
                </c:pt>
                <c:pt idx="11">
                  <c:v>206</c:v>
                </c:pt>
                <c:pt idx="12">
                  <c:v>225</c:v>
                </c:pt>
                <c:pt idx="13">
                  <c:v>243</c:v>
                </c:pt>
                <c:pt idx="14">
                  <c:v>262</c:v>
                </c:pt>
                <c:pt idx="15">
                  <c:v>281</c:v>
                </c:pt>
                <c:pt idx="16">
                  <c:v>299</c:v>
                </c:pt>
                <c:pt idx="17">
                  <c:v>317</c:v>
                </c:pt>
                <c:pt idx="18">
                  <c:v>335</c:v>
                </c:pt>
                <c:pt idx="19">
                  <c:v>353</c:v>
                </c:pt>
                <c:pt idx="20">
                  <c:v>369</c:v>
                </c:pt>
                <c:pt idx="21">
                  <c:v>385</c:v>
                </c:pt>
                <c:pt idx="22">
                  <c:v>403</c:v>
                </c:pt>
                <c:pt idx="23">
                  <c:v>419</c:v>
                </c:pt>
                <c:pt idx="24">
                  <c:v>437</c:v>
                </c:pt>
                <c:pt idx="25">
                  <c:v>454</c:v>
                </c:pt>
                <c:pt idx="26">
                  <c:v>472</c:v>
                </c:pt>
                <c:pt idx="27">
                  <c:v>490</c:v>
                </c:pt>
                <c:pt idx="28">
                  <c:v>507</c:v>
                </c:pt>
              </c:numCache>
            </c:numRef>
          </c:xVal>
          <c:yVal>
            <c:numRef>
              <c:f>'Simple Data'!$C$2:$C$68</c:f>
              <c:numCache>
                <c:formatCode>General</c:formatCode>
                <c:ptCount val="67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-1</c:v>
                </c:pt>
                <c:pt idx="4">
                  <c:v>1</c:v>
                </c:pt>
                <c:pt idx="5">
                  <c:v>3</c:v>
                </c:pt>
                <c:pt idx="6">
                  <c:v>6</c:v>
                </c:pt>
                <c:pt idx="7">
                  <c:v>8</c:v>
                </c:pt>
                <c:pt idx="8">
                  <c:v>11</c:v>
                </c:pt>
                <c:pt idx="9">
                  <c:v>15</c:v>
                </c:pt>
                <c:pt idx="10">
                  <c:v>19</c:v>
                </c:pt>
                <c:pt idx="11">
                  <c:v>22</c:v>
                </c:pt>
                <c:pt idx="12">
                  <c:v>25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35</c:v>
                </c:pt>
                <c:pt idx="17">
                  <c:v>38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  <c:pt idx="21">
                  <c:v>48</c:v>
                </c:pt>
                <c:pt idx="22">
                  <c:v>51</c:v>
                </c:pt>
                <c:pt idx="23">
                  <c:v>53</c:v>
                </c:pt>
                <c:pt idx="24">
                  <c:v>55</c:v>
                </c:pt>
                <c:pt idx="25">
                  <c:v>58</c:v>
                </c:pt>
                <c:pt idx="26">
                  <c:v>60</c:v>
                </c:pt>
                <c:pt idx="27">
                  <c:v>63</c:v>
                </c:pt>
                <c:pt idx="28">
                  <c:v>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6B-444B-A027-FFC65C340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132063"/>
        <c:axId val="821127743"/>
      </c:scatterChart>
      <c:valAx>
        <c:axId val="8211320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1127743"/>
        <c:crosses val="autoZero"/>
        <c:crossBetween val="midCat"/>
      </c:valAx>
      <c:valAx>
        <c:axId val="821127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11320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676275</xdr:colOff>
      <xdr:row>0</xdr:row>
      <xdr:rowOff>336550</xdr:rowOff>
    </xdr:from>
    <xdr:to>
      <xdr:col>11</xdr:col>
      <xdr:colOff>549275</xdr:colOff>
      <xdr:row>20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B38564A-97D4-803D-6300-4CCD2F9BDE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74"/>
  <sheetViews>
    <sheetView tabSelected="1" topLeftCell="A12" workbookViewId="0">
      <selection activeCell="I29" sqref="I29"/>
    </sheetView>
  </sheetViews>
  <sheetFormatPr baseColWidth="10" defaultColWidth="9.1796875" defaultRowHeight="12.5" x14ac:dyDescent="0.25"/>
  <cols>
    <col min="1" max="1" width="18.81640625" style="15" customWidth="1"/>
    <col min="2" max="2" width="15" style="14" customWidth="1"/>
    <col min="3" max="3" width="9" style="15" customWidth="1"/>
    <col min="4" max="4" width="9.1796875" style="15"/>
    <col min="5" max="5" width="10.26953125" style="15" bestFit="1" customWidth="1"/>
    <col min="6" max="6" width="9.1796875" style="15"/>
    <col min="7" max="7" width="9.1796875" style="1"/>
    <col min="8" max="8" width="15.26953125" style="1" bestFit="1" customWidth="1"/>
    <col min="9" max="9" width="6.36328125" style="1" bestFit="1" customWidth="1"/>
    <col min="10" max="10" width="9.1796875" style="1"/>
    <col min="14" max="14" width="11.7265625" bestFit="1" customWidth="1"/>
  </cols>
  <sheetData>
    <row r="1" spans="1:10" s="16" customFormat="1" ht="38.25" customHeight="1" x14ac:dyDescent="0.3">
      <c r="A1" s="2" t="s">
        <v>7</v>
      </c>
      <c r="B1" s="11" t="s">
        <v>8</v>
      </c>
      <c r="C1" s="2" t="s">
        <v>7</v>
      </c>
      <c r="D1" s="11" t="s">
        <v>8</v>
      </c>
      <c r="E1" s="2"/>
      <c r="F1" s="2"/>
      <c r="G1" s="2"/>
      <c r="H1" s="2"/>
      <c r="I1" s="2"/>
      <c r="J1" s="2"/>
    </row>
    <row r="2" spans="1:10" x14ac:dyDescent="0.25">
      <c r="A2" s="15">
        <v>-43</v>
      </c>
      <c r="B2" s="14">
        <v>5836</v>
      </c>
      <c r="C2" s="15">
        <f>A2+43</f>
        <v>0</v>
      </c>
      <c r="D2" s="14">
        <f>B2-5836</f>
        <v>0</v>
      </c>
    </row>
    <row r="3" spans="1:10" x14ac:dyDescent="0.25">
      <c r="A3" s="15">
        <v>-44</v>
      </c>
      <c r="B3" s="14">
        <v>5855</v>
      </c>
      <c r="C3" s="15">
        <f t="shared" ref="C3:C49" si="0">A3+43</f>
        <v>-1</v>
      </c>
      <c r="D3" s="14">
        <f t="shared" ref="D3:D49" si="1">B3-5836</f>
        <v>19</v>
      </c>
    </row>
    <row r="4" spans="1:10" x14ac:dyDescent="0.25">
      <c r="A4" s="15">
        <v>-45</v>
      </c>
      <c r="B4" s="14">
        <v>5873</v>
      </c>
      <c r="C4" s="15">
        <f t="shared" si="0"/>
        <v>-2</v>
      </c>
      <c r="D4" s="14">
        <f t="shared" si="1"/>
        <v>37</v>
      </c>
    </row>
    <row r="5" spans="1:10" x14ac:dyDescent="0.25">
      <c r="A5" s="15">
        <v>-44</v>
      </c>
      <c r="B5" s="14">
        <v>5893</v>
      </c>
      <c r="C5" s="15">
        <f t="shared" si="0"/>
        <v>-1</v>
      </c>
      <c r="D5" s="14">
        <f t="shared" si="1"/>
        <v>57</v>
      </c>
    </row>
    <row r="6" spans="1:10" x14ac:dyDescent="0.25">
      <c r="A6" s="15">
        <v>-42</v>
      </c>
      <c r="B6" s="14">
        <v>5911</v>
      </c>
      <c r="C6" s="15">
        <f t="shared" si="0"/>
        <v>1</v>
      </c>
      <c r="D6" s="14">
        <f t="shared" si="1"/>
        <v>75</v>
      </c>
    </row>
    <row r="7" spans="1:10" x14ac:dyDescent="0.25">
      <c r="A7" s="15">
        <v>-40</v>
      </c>
      <c r="B7" s="14">
        <v>5929</v>
      </c>
      <c r="C7" s="15">
        <f t="shared" si="0"/>
        <v>3</v>
      </c>
      <c r="D7" s="14">
        <f t="shared" si="1"/>
        <v>93</v>
      </c>
    </row>
    <row r="8" spans="1:10" x14ac:dyDescent="0.25">
      <c r="A8" s="15">
        <v>-37</v>
      </c>
      <c r="B8" s="14">
        <v>5948</v>
      </c>
      <c r="C8" s="15">
        <f t="shared" si="0"/>
        <v>6</v>
      </c>
      <c r="D8" s="14">
        <f t="shared" si="1"/>
        <v>112</v>
      </c>
    </row>
    <row r="9" spans="1:10" x14ac:dyDescent="0.25">
      <c r="A9" s="15">
        <v>-35</v>
      </c>
      <c r="B9" s="14">
        <v>5967</v>
      </c>
      <c r="C9" s="15">
        <f t="shared" si="0"/>
        <v>8</v>
      </c>
      <c r="D9" s="14">
        <f t="shared" si="1"/>
        <v>131</v>
      </c>
    </row>
    <row r="10" spans="1:10" x14ac:dyDescent="0.25">
      <c r="A10" s="15">
        <v>-32</v>
      </c>
      <c r="B10" s="14">
        <v>5986</v>
      </c>
      <c r="C10" s="15">
        <f t="shared" si="0"/>
        <v>11</v>
      </c>
      <c r="D10" s="14">
        <f t="shared" si="1"/>
        <v>150</v>
      </c>
    </row>
    <row r="11" spans="1:10" x14ac:dyDescent="0.25">
      <c r="A11" s="15">
        <v>-28</v>
      </c>
      <c r="B11" s="14">
        <v>6004</v>
      </c>
      <c r="C11" s="15">
        <f t="shared" si="0"/>
        <v>15</v>
      </c>
      <c r="D11" s="14">
        <f t="shared" si="1"/>
        <v>168</v>
      </c>
    </row>
    <row r="12" spans="1:10" x14ac:dyDescent="0.25">
      <c r="A12" s="15">
        <v>-24</v>
      </c>
      <c r="B12" s="14">
        <v>6023</v>
      </c>
      <c r="C12" s="15">
        <f t="shared" si="0"/>
        <v>19</v>
      </c>
      <c r="D12" s="14">
        <f t="shared" si="1"/>
        <v>187</v>
      </c>
    </row>
    <row r="13" spans="1:10" x14ac:dyDescent="0.25">
      <c r="A13" s="15">
        <v>-21</v>
      </c>
      <c r="B13" s="14">
        <v>6042</v>
      </c>
      <c r="C13" s="15">
        <f t="shared" si="0"/>
        <v>22</v>
      </c>
      <c r="D13" s="14">
        <f t="shared" si="1"/>
        <v>206</v>
      </c>
    </row>
    <row r="14" spans="1:10" x14ac:dyDescent="0.25">
      <c r="A14" s="15">
        <v>-18</v>
      </c>
      <c r="B14" s="14">
        <v>6061</v>
      </c>
      <c r="C14" s="15">
        <f t="shared" si="0"/>
        <v>25</v>
      </c>
      <c r="D14" s="14">
        <f t="shared" si="1"/>
        <v>225</v>
      </c>
    </row>
    <row r="15" spans="1:10" x14ac:dyDescent="0.25">
      <c r="A15" s="15">
        <v>-15</v>
      </c>
      <c r="B15" s="14">
        <v>6079</v>
      </c>
      <c r="C15" s="15">
        <f t="shared" si="0"/>
        <v>28</v>
      </c>
      <c r="D15" s="14">
        <f t="shared" si="1"/>
        <v>243</v>
      </c>
    </row>
    <row r="16" spans="1:10" x14ac:dyDescent="0.25">
      <c r="A16" s="15">
        <v>-13</v>
      </c>
      <c r="B16" s="14">
        <v>6098</v>
      </c>
      <c r="C16" s="15">
        <f t="shared" si="0"/>
        <v>30</v>
      </c>
      <c r="D16" s="14">
        <f t="shared" si="1"/>
        <v>262</v>
      </c>
    </row>
    <row r="17" spans="1:11" x14ac:dyDescent="0.25">
      <c r="A17" s="15">
        <v>-11</v>
      </c>
      <c r="B17" s="14">
        <v>6117</v>
      </c>
      <c r="C17" s="15">
        <f t="shared" si="0"/>
        <v>32</v>
      </c>
      <c r="D17" s="14">
        <f t="shared" si="1"/>
        <v>281</v>
      </c>
    </row>
    <row r="18" spans="1:11" x14ac:dyDescent="0.25">
      <c r="A18" s="15">
        <v>-8</v>
      </c>
      <c r="B18" s="14">
        <v>6135</v>
      </c>
      <c r="C18" s="15">
        <f t="shared" si="0"/>
        <v>35</v>
      </c>
      <c r="D18" s="14">
        <f t="shared" si="1"/>
        <v>299</v>
      </c>
    </row>
    <row r="19" spans="1:11" x14ac:dyDescent="0.25">
      <c r="A19" s="15">
        <v>-5</v>
      </c>
      <c r="B19" s="14">
        <v>6153</v>
      </c>
      <c r="C19" s="15">
        <f t="shared" si="0"/>
        <v>38</v>
      </c>
      <c r="D19" s="14">
        <f t="shared" si="1"/>
        <v>317</v>
      </c>
    </row>
    <row r="20" spans="1:11" x14ac:dyDescent="0.25">
      <c r="A20" s="15">
        <v>-2</v>
      </c>
      <c r="B20" s="14">
        <v>6171</v>
      </c>
      <c r="C20" s="15">
        <f t="shared" si="0"/>
        <v>41</v>
      </c>
      <c r="D20" s="14">
        <f t="shared" si="1"/>
        <v>335</v>
      </c>
    </row>
    <row r="21" spans="1:11" x14ac:dyDescent="0.25">
      <c r="A21" s="15">
        <v>0</v>
      </c>
      <c r="B21" s="14">
        <v>6189</v>
      </c>
      <c r="C21" s="15">
        <f t="shared" si="0"/>
        <v>43</v>
      </c>
      <c r="D21" s="14">
        <f t="shared" si="1"/>
        <v>353</v>
      </c>
    </row>
    <row r="22" spans="1:11" x14ac:dyDescent="0.25">
      <c r="A22" s="15">
        <v>2</v>
      </c>
      <c r="B22" s="14">
        <v>6205</v>
      </c>
      <c r="C22" s="15">
        <f t="shared" si="0"/>
        <v>45</v>
      </c>
      <c r="D22" s="14">
        <f t="shared" si="1"/>
        <v>369</v>
      </c>
    </row>
    <row r="23" spans="1:11" x14ac:dyDescent="0.25">
      <c r="A23" s="15">
        <v>5</v>
      </c>
      <c r="B23" s="14">
        <v>6221</v>
      </c>
      <c r="C23" s="15">
        <f t="shared" si="0"/>
        <v>48</v>
      </c>
      <c r="D23" s="14">
        <f t="shared" si="1"/>
        <v>385</v>
      </c>
    </row>
    <row r="24" spans="1:11" x14ac:dyDescent="0.25">
      <c r="A24" s="15">
        <v>8</v>
      </c>
      <c r="B24" s="14">
        <v>6239</v>
      </c>
      <c r="C24" s="15">
        <f t="shared" si="0"/>
        <v>51</v>
      </c>
      <c r="D24" s="14">
        <f t="shared" si="1"/>
        <v>403</v>
      </c>
    </row>
    <row r="25" spans="1:11" x14ac:dyDescent="0.25">
      <c r="A25" s="15">
        <v>10</v>
      </c>
      <c r="B25" s="14">
        <v>6255</v>
      </c>
      <c r="C25" s="15">
        <f t="shared" si="0"/>
        <v>53</v>
      </c>
      <c r="D25" s="14">
        <f t="shared" si="1"/>
        <v>419</v>
      </c>
    </row>
    <row r="26" spans="1:11" x14ac:dyDescent="0.25">
      <c r="A26" s="15">
        <v>12</v>
      </c>
      <c r="B26" s="14">
        <v>6273</v>
      </c>
      <c r="C26" s="15">
        <f t="shared" si="0"/>
        <v>55</v>
      </c>
      <c r="D26" s="14">
        <f t="shared" si="1"/>
        <v>437</v>
      </c>
    </row>
    <row r="27" spans="1:11" x14ac:dyDescent="0.25">
      <c r="A27" s="15">
        <v>15</v>
      </c>
      <c r="B27" s="14">
        <v>6290</v>
      </c>
      <c r="C27" s="15">
        <f t="shared" si="0"/>
        <v>58</v>
      </c>
      <c r="D27" s="14">
        <f t="shared" si="1"/>
        <v>454</v>
      </c>
      <c r="F27" s="15" t="s">
        <v>9</v>
      </c>
      <c r="G27" s="1" t="s">
        <v>10</v>
      </c>
      <c r="H27" s="1" t="s">
        <v>11</v>
      </c>
      <c r="I27" s="1" t="s">
        <v>12</v>
      </c>
      <c r="J27" s="1" t="s">
        <v>13</v>
      </c>
      <c r="K27" s="1" t="s">
        <v>14</v>
      </c>
    </row>
    <row r="28" spans="1:11" x14ac:dyDescent="0.25">
      <c r="A28" s="15">
        <v>17</v>
      </c>
      <c r="B28" s="14">
        <v>6308</v>
      </c>
      <c r="C28" s="15">
        <f t="shared" si="0"/>
        <v>60</v>
      </c>
      <c r="D28" s="14">
        <f t="shared" si="1"/>
        <v>472</v>
      </c>
      <c r="F28" s="14">
        <f>D29</f>
        <v>490</v>
      </c>
      <c r="G28" s="12">
        <f>C29</f>
        <v>63</v>
      </c>
      <c r="H28" s="12">
        <f>D30</f>
        <v>507</v>
      </c>
      <c r="I28" s="12">
        <f>C30</f>
        <v>67</v>
      </c>
      <c r="J28" s="1">
        <v>7.8814749290000004</v>
      </c>
      <c r="K28">
        <f>RADIANS(((G28-I28)/(F28-H28))*1000)</f>
        <v>4.1066570635160691</v>
      </c>
    </row>
    <row r="29" spans="1:11" x14ac:dyDescent="0.25">
      <c r="A29" s="15">
        <v>20</v>
      </c>
      <c r="B29" s="14">
        <v>6326</v>
      </c>
      <c r="C29" s="15">
        <f t="shared" si="0"/>
        <v>63</v>
      </c>
      <c r="D29" s="14">
        <f t="shared" si="1"/>
        <v>490</v>
      </c>
      <c r="F29" s="15" t="s">
        <v>15</v>
      </c>
      <c r="G29" s="1">
        <f>(I28-G28)/(H28-F28)</f>
        <v>0.23529411764705882</v>
      </c>
      <c r="H29" s="1" t="s">
        <v>16</v>
      </c>
      <c r="I29" s="1">
        <f>I28-G29*H28</f>
        <v>-52.294117647058826</v>
      </c>
    </row>
    <row r="30" spans="1:11" x14ac:dyDescent="0.25">
      <c r="A30" s="15">
        <v>24</v>
      </c>
      <c r="B30" s="14">
        <v>6343</v>
      </c>
      <c r="C30" s="15">
        <f t="shared" si="0"/>
        <v>67</v>
      </c>
      <c r="D30" s="14">
        <f t="shared" si="1"/>
        <v>507</v>
      </c>
      <c r="F30" s="15" t="s">
        <v>17</v>
      </c>
      <c r="G30" s="1">
        <f>J28/K28</f>
        <v>1.9191948115219484</v>
      </c>
      <c r="H30" s="1" t="s">
        <v>18</v>
      </c>
      <c r="I30" s="1">
        <f>-I29/G29</f>
        <v>222.25</v>
      </c>
    </row>
    <row r="31" spans="1:11" x14ac:dyDescent="0.25">
      <c r="D31" s="14"/>
    </row>
    <row r="32" spans="1:11" x14ac:dyDescent="0.25">
      <c r="D32" s="14"/>
    </row>
    <row r="33" spans="4:4" x14ac:dyDescent="0.25">
      <c r="D33" s="14"/>
    </row>
    <row r="34" spans="4:4" x14ac:dyDescent="0.25">
      <c r="D34" s="14"/>
    </row>
    <row r="35" spans="4:4" x14ac:dyDescent="0.25">
      <c r="D35" s="14"/>
    </row>
    <row r="36" spans="4:4" x14ac:dyDescent="0.25">
      <c r="D36" s="14"/>
    </row>
    <row r="37" spans="4:4" x14ac:dyDescent="0.25">
      <c r="D37" s="14"/>
    </row>
    <row r="38" spans="4:4" x14ac:dyDescent="0.25">
      <c r="D38" s="14"/>
    </row>
    <row r="39" spans="4:4" x14ac:dyDescent="0.25">
      <c r="D39" s="14"/>
    </row>
    <row r="40" spans="4:4" x14ac:dyDescent="0.25">
      <c r="D40" s="14"/>
    </row>
    <row r="41" spans="4:4" x14ac:dyDescent="0.25">
      <c r="D41" s="14"/>
    </row>
    <row r="42" spans="4:4" x14ac:dyDescent="0.25">
      <c r="D42" s="14"/>
    </row>
    <row r="43" spans="4:4" x14ac:dyDescent="0.25">
      <c r="D43" s="14"/>
    </row>
    <row r="44" spans="4:4" x14ac:dyDescent="0.25">
      <c r="D44" s="14"/>
    </row>
    <row r="45" spans="4:4" x14ac:dyDescent="0.25">
      <c r="D45" s="14"/>
    </row>
    <row r="46" spans="4:4" x14ac:dyDescent="0.25">
      <c r="D46" s="14"/>
    </row>
    <row r="47" spans="4:4" x14ac:dyDescent="0.25">
      <c r="D47" s="14"/>
    </row>
    <row r="48" spans="4:4" x14ac:dyDescent="0.25">
      <c r="D48" s="14"/>
    </row>
    <row r="49" spans="4:4" x14ac:dyDescent="0.25">
      <c r="D49" s="14"/>
    </row>
    <row r="50" spans="4:4" x14ac:dyDescent="0.25">
      <c r="D50" s="14"/>
    </row>
    <row r="51" spans="4:4" x14ac:dyDescent="0.25">
      <c r="D51" s="14"/>
    </row>
    <row r="52" spans="4:4" x14ac:dyDescent="0.25">
      <c r="D52" s="14"/>
    </row>
    <row r="53" spans="4:4" x14ac:dyDescent="0.25">
      <c r="D53" s="14"/>
    </row>
    <row r="54" spans="4:4" x14ac:dyDescent="0.25">
      <c r="D54" s="14"/>
    </row>
    <row r="55" spans="4:4" x14ac:dyDescent="0.25">
      <c r="D55" s="14"/>
    </row>
    <row r="56" spans="4:4" x14ac:dyDescent="0.25">
      <c r="D56" s="14"/>
    </row>
    <row r="57" spans="4:4" x14ac:dyDescent="0.25">
      <c r="D57" s="14"/>
    </row>
    <row r="58" spans="4:4" x14ac:dyDescent="0.25">
      <c r="D58" s="14"/>
    </row>
    <row r="59" spans="4:4" x14ac:dyDescent="0.25">
      <c r="D59" s="14"/>
    </row>
    <row r="60" spans="4:4" x14ac:dyDescent="0.25">
      <c r="D60" s="14"/>
    </row>
    <row r="61" spans="4:4" x14ac:dyDescent="0.25">
      <c r="D61" s="14"/>
    </row>
    <row r="62" spans="4:4" x14ac:dyDescent="0.25">
      <c r="D62" s="14"/>
    </row>
    <row r="63" spans="4:4" x14ac:dyDescent="0.25">
      <c r="D63" s="14"/>
    </row>
    <row r="64" spans="4:4" x14ac:dyDescent="0.25">
      <c r="D64" s="14"/>
    </row>
    <row r="65" spans="4:5" x14ac:dyDescent="0.25">
      <c r="D65" s="14"/>
    </row>
    <row r="66" spans="4:5" x14ac:dyDescent="0.25">
      <c r="D66" s="14"/>
    </row>
    <row r="67" spans="4:5" x14ac:dyDescent="0.25">
      <c r="D67" s="14"/>
    </row>
    <row r="68" spans="4:5" x14ac:dyDescent="0.25">
      <c r="D68" s="14"/>
    </row>
    <row r="80" spans="4:5" x14ac:dyDescent="0.25">
      <c r="E80" s="23"/>
    </row>
    <row r="124" spans="3:3" x14ac:dyDescent="0.25">
      <c r="C124" s="23"/>
    </row>
    <row r="153" spans="3:3" x14ac:dyDescent="0.25">
      <c r="C153" s="23"/>
    </row>
    <row r="197" spans="3:3" x14ac:dyDescent="0.25">
      <c r="C197" s="23"/>
    </row>
    <row r="413" spans="3:3" x14ac:dyDescent="0.25">
      <c r="C413" s="23"/>
    </row>
    <row r="457" spans="3:3" x14ac:dyDescent="0.25">
      <c r="C457" s="23"/>
    </row>
    <row r="501" spans="3:3" x14ac:dyDescent="0.25">
      <c r="C501" s="23"/>
    </row>
    <row r="634" spans="3:3" x14ac:dyDescent="0.25">
      <c r="C634" s="23"/>
    </row>
    <row r="678" spans="3:3" x14ac:dyDescent="0.25">
      <c r="C678" s="23"/>
    </row>
    <row r="722" spans="3:3" x14ac:dyDescent="0.25">
      <c r="C722" s="23"/>
    </row>
    <row r="766" spans="3:3" x14ac:dyDescent="0.25">
      <c r="C766" s="23"/>
    </row>
    <row r="810" spans="3:3" x14ac:dyDescent="0.25">
      <c r="C810" s="23"/>
    </row>
    <row r="854" spans="3:3" x14ac:dyDescent="0.25">
      <c r="C854" s="23"/>
    </row>
    <row r="898" spans="3:3" x14ac:dyDescent="0.25">
      <c r="C898" s="23"/>
    </row>
    <row r="942" spans="3:3" x14ac:dyDescent="0.25">
      <c r="C942" s="23"/>
    </row>
    <row r="986" spans="3:3" x14ac:dyDescent="0.25">
      <c r="C986" s="23"/>
    </row>
    <row r="1030" spans="3:3" x14ac:dyDescent="0.25">
      <c r="C1030" s="23"/>
    </row>
    <row r="1074" spans="3:3" x14ac:dyDescent="0.25">
      <c r="C1074" s="23"/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9.1796875" defaultRowHeight="12.5" x14ac:dyDescent="0.25"/>
  <cols>
    <col min="1" max="1" width="18.26953125" style="5" customWidth="1"/>
    <col min="2" max="2" width="8.453125" style="12" customWidth="1"/>
    <col min="3" max="3" width="9.26953125" style="1" customWidth="1"/>
    <col min="4" max="4" width="6.81640625" style="1" customWidth="1"/>
    <col min="5" max="5" width="2.7265625" style="1" customWidth="1"/>
    <col min="6" max="6" width="2.1796875" style="1" customWidth="1"/>
    <col min="7" max="7" width="2.54296875" style="1" customWidth="1"/>
    <col min="8" max="8" width="2.26953125" style="1" customWidth="1"/>
    <col min="9" max="9" width="2.453125" style="1" customWidth="1"/>
    <col min="10" max="10" width="2" style="1" customWidth="1"/>
    <col min="11" max="11" width="18.7265625" customWidth="1"/>
  </cols>
  <sheetData>
    <row r="1" spans="1:11" s="3" customFormat="1" ht="45.75" customHeight="1" x14ac:dyDescent="0.3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9.1796875" defaultRowHeight="12.5" x14ac:dyDescent="0.25"/>
  <cols>
    <col min="1" max="1" width="22.453125" customWidth="1"/>
    <col min="5" max="5" width="26.453125" customWidth="1"/>
  </cols>
  <sheetData>
    <row r="1" spans="1:5" ht="42" customHeight="1" x14ac:dyDescent="0.3">
      <c r="A1" s="13" t="s">
        <v>1</v>
      </c>
      <c r="E1" s="4" t="s">
        <v>0</v>
      </c>
    </row>
    <row r="3" spans="1:5" ht="13" thickBot="1" x14ac:dyDescent="0.3"/>
    <row r="4" spans="1:5" ht="13.5" thickBot="1" x14ac:dyDescent="0.35">
      <c r="A4" s="7"/>
      <c r="B4" s="10"/>
      <c r="C4" s="17"/>
      <c r="E4" s="22"/>
    </row>
    <row r="5" spans="1:5" ht="13.5" thickBot="1" x14ac:dyDescent="0.35">
      <c r="A5" s="8"/>
      <c r="B5" s="9"/>
    </row>
    <row r="6" spans="1:5" ht="13" x14ac:dyDescent="0.3">
      <c r="A6" s="18"/>
      <c r="B6" s="19"/>
    </row>
    <row r="7" spans="1:5" ht="13.5" thickBot="1" x14ac:dyDescent="0.35">
      <c r="A7" s="20"/>
      <c r="B7" s="21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Yovany Vargas</cp:lastModifiedBy>
  <dcterms:created xsi:type="dcterms:W3CDTF">2002-07-12T16:49:39Z</dcterms:created>
  <dcterms:modified xsi:type="dcterms:W3CDTF">2024-09-03T21:49:51Z</dcterms:modified>
</cp:coreProperties>
</file>