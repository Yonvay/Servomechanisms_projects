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van\Desktop\Universidad\2024-I\Servomecanismos\Servomechanisms_projects\Control\M1\"/>
    </mc:Choice>
  </mc:AlternateContent>
  <xr:revisionPtr revIDLastSave="0" documentId="13_ncr:1_{91827F1B-BB83-4AA6-A60B-0F129F2FE2D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6" i="1" l="1"/>
  <c r="H26" i="1"/>
  <c r="G26" i="1"/>
  <c r="F2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" i="1"/>
  <c r="K26" i="1" l="1"/>
  <c r="G28" i="1" s="1"/>
  <c r="G27" i="1"/>
  <c r="I27" i="1" s="1"/>
  <c r="I28" i="1" s="1"/>
</calcChain>
</file>

<file path=xl/sharedStrings.xml><?xml version="1.0" encoding="utf-8"?>
<sst xmlns="http://schemas.openxmlformats.org/spreadsheetml/2006/main" count="22" uniqueCount="19">
  <si>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</si>
  <si>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</si>
  <si>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</si>
  <si>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</si>
  <si>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</si>
  <si>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</si>
  <si>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</si>
  <si>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Theta_1</t>
  </si>
  <si>
    <t>t</t>
  </si>
  <si>
    <t>x1</t>
  </si>
  <si>
    <t>y1</t>
  </si>
  <si>
    <t>x2</t>
  </si>
  <si>
    <t>y2</t>
  </si>
  <si>
    <t>Vrms</t>
  </si>
  <si>
    <t>W(rad/s)</t>
  </si>
  <si>
    <t>m</t>
  </si>
  <si>
    <t>b</t>
  </si>
  <si>
    <t>Km</t>
  </si>
  <si>
    <t>Tm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</si>
</sst>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CEAB639-99AB-4CE1-8CCA-794AE0DC11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Data'!$D$2:$D$68</c:f>
              <c:numCache>
                <c:formatCode>0.00</c:formatCode>
                <c:ptCount val="67"/>
                <c:pt idx="0">
                  <c:v>0</c:v>
                </c:pt>
                <c:pt idx="1">
                  <c:v>20</c:v>
                </c:pt>
                <c:pt idx="2">
                  <c:v>38</c:v>
                </c:pt>
                <c:pt idx="3">
                  <c:v>56</c:v>
                </c:pt>
                <c:pt idx="4">
                  <c:v>75</c:v>
                </c:pt>
                <c:pt idx="5">
                  <c:v>94</c:v>
                </c:pt>
                <c:pt idx="6">
                  <c:v>113</c:v>
                </c:pt>
                <c:pt idx="7">
                  <c:v>131</c:v>
                </c:pt>
                <c:pt idx="8">
                  <c:v>151</c:v>
                </c:pt>
                <c:pt idx="9">
                  <c:v>169</c:v>
                </c:pt>
                <c:pt idx="10">
                  <c:v>187</c:v>
                </c:pt>
                <c:pt idx="11">
                  <c:v>206</c:v>
                </c:pt>
                <c:pt idx="12">
                  <c:v>225</c:v>
                </c:pt>
                <c:pt idx="13">
                  <c:v>244</c:v>
                </c:pt>
                <c:pt idx="14">
                  <c:v>262</c:v>
                </c:pt>
                <c:pt idx="15">
                  <c:v>282</c:v>
                </c:pt>
                <c:pt idx="16">
                  <c:v>299</c:v>
                </c:pt>
                <c:pt idx="17">
                  <c:v>316</c:v>
                </c:pt>
                <c:pt idx="18">
                  <c:v>334</c:v>
                </c:pt>
                <c:pt idx="19">
                  <c:v>351</c:v>
                </c:pt>
                <c:pt idx="20">
                  <c:v>368</c:v>
                </c:pt>
                <c:pt idx="21">
                  <c:v>384</c:v>
                </c:pt>
                <c:pt idx="22">
                  <c:v>400</c:v>
                </c:pt>
                <c:pt idx="23">
                  <c:v>418</c:v>
                </c:pt>
                <c:pt idx="24">
                  <c:v>435</c:v>
                </c:pt>
                <c:pt idx="25">
                  <c:v>453</c:v>
                </c:pt>
                <c:pt idx="26">
                  <c:v>470</c:v>
                </c:pt>
              </c:numCache>
            </c:numRef>
          </c:xVal>
          <c:yVal>
            <c:numRef>
              <c:f>'Simple Data'!$C$2:$C$68</c:f>
              <c:numCache>
                <c:formatCode>General</c:formatCode>
                <c:ptCount val="67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6</c:v>
                </c:pt>
                <c:pt idx="7">
                  <c:v>9</c:v>
                </c:pt>
                <c:pt idx="8">
                  <c:v>12</c:v>
                </c:pt>
                <c:pt idx="9">
                  <c:v>16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33</c:v>
                </c:pt>
                <c:pt idx="17">
                  <c:v>35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45</c:v>
                </c:pt>
                <c:pt idx="22">
                  <c:v>47</c:v>
                </c:pt>
                <c:pt idx="23">
                  <c:v>50</c:v>
                </c:pt>
                <c:pt idx="24">
                  <c:v>53</c:v>
                </c:pt>
                <c:pt idx="25">
                  <c:v>56</c:v>
                </c:pt>
                <c:pt idx="26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6B-444B-A027-FFC65C340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132063"/>
        <c:axId val="821127743"/>
      </c:scatterChart>
      <c:valAx>
        <c:axId val="821132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1127743"/>
        <c:crosses val="autoZero"/>
        <c:crossBetween val="midCat"/>
      </c:valAx>
      <c:valAx>
        <c:axId val="82112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11320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0</xdr:row>
      <xdr:rowOff>336550</xdr:rowOff>
    </xdr:from>
    <xdr:to>
      <xdr:col>11</xdr:col>
      <xdr:colOff>549275</xdr:colOff>
      <xdr:row>20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38564A-97D4-803D-6300-4CCD2F9BDE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7"/>
  <sheetViews>
    <sheetView tabSelected="1" topLeftCell="A14" workbookViewId="0">
      <selection activeCell="F32" sqref="F32"/>
    </sheetView>
  </sheetViews>
  <sheetFormatPr baseColWidth="10" defaultColWidth="9.1796875" defaultRowHeight="12.5" x14ac:dyDescent="0.25"/>
  <cols>
    <col min="1" max="1" width="18.81640625" style="15" customWidth="1"/>
    <col min="2" max="2" width="15" style="14" customWidth="1"/>
    <col min="3" max="3" width="9" style="15" customWidth="1"/>
    <col min="4" max="4" width="9.1796875" style="15"/>
    <col min="5" max="5" width="10.26953125" style="15" bestFit="1" customWidth="1"/>
    <col min="6" max="6" width="9.1796875" style="15"/>
    <col min="7" max="7" width="9.1796875" style="1"/>
    <col min="8" max="8" width="15.26953125" style="1" bestFit="1" customWidth="1"/>
    <col min="9" max="9" width="6.36328125" style="1" bestFit="1" customWidth="1"/>
    <col min="10" max="10" width="9.1796875" style="1"/>
    <col min="14" max="14" width="11.7265625" bestFit="1" customWidth="1"/>
  </cols>
  <sheetData>
    <row r="1" spans="1:10" s="16" customFormat="1" ht="38.25" customHeight="1" x14ac:dyDescent="0.3">
      <c r="A1" s="2" t="s">
        <v>7</v>
      </c>
      <c r="B1" s="11" t="s">
        <v>8</v>
      </c>
      <c r="C1" s="2" t="s">
        <v>7</v>
      </c>
      <c r="D1" s="11" t="s">
        <v>8</v>
      </c>
      <c r="E1" s="2"/>
      <c r="F1" s="2"/>
      <c r="G1" s="2"/>
      <c r="H1" s="2"/>
      <c r="I1" s="2"/>
      <c r="J1" s="2"/>
    </row>
    <row r="2" spans="1:10" x14ac:dyDescent="0.25">
      <c r="A2" s="15">
        <v>-38</v>
      </c>
      <c r="B2" s="14">
        <v>8344</v>
      </c>
      <c r="C2" s="15">
        <f>A2+38</f>
        <v>0</v>
      </c>
      <c r="D2" s="14">
        <f>B2-8344</f>
        <v>0</v>
      </c>
    </row>
    <row r="3" spans="1:10" x14ac:dyDescent="0.25">
      <c r="A3" s="15">
        <v>-39</v>
      </c>
      <c r="B3" s="14">
        <v>8364</v>
      </c>
      <c r="C3" s="15">
        <f t="shared" ref="C3:C28" si="0">A3+38</f>
        <v>-1</v>
      </c>
      <c r="D3" s="14">
        <f t="shared" ref="D3:D28" si="1">B3-8344</f>
        <v>20</v>
      </c>
    </row>
    <row r="4" spans="1:10" x14ac:dyDescent="0.25">
      <c r="A4" s="15">
        <v>-39</v>
      </c>
      <c r="B4" s="14">
        <v>8382</v>
      </c>
      <c r="C4" s="15">
        <f t="shared" si="0"/>
        <v>-1</v>
      </c>
      <c r="D4" s="14">
        <f t="shared" si="1"/>
        <v>38</v>
      </c>
    </row>
    <row r="5" spans="1:10" x14ac:dyDescent="0.25">
      <c r="A5" s="15">
        <v>-38</v>
      </c>
      <c r="B5" s="14">
        <v>8400</v>
      </c>
      <c r="C5" s="15">
        <f t="shared" si="0"/>
        <v>0</v>
      </c>
      <c r="D5" s="14">
        <f t="shared" si="1"/>
        <v>56</v>
      </c>
    </row>
    <row r="6" spans="1:10" x14ac:dyDescent="0.25">
      <c r="A6" s="15">
        <v>-36</v>
      </c>
      <c r="B6" s="14">
        <v>8419</v>
      </c>
      <c r="C6" s="15">
        <f t="shared" si="0"/>
        <v>2</v>
      </c>
      <c r="D6" s="14">
        <f t="shared" si="1"/>
        <v>75</v>
      </c>
    </row>
    <row r="7" spans="1:10" x14ac:dyDescent="0.25">
      <c r="A7" s="15">
        <v>-34</v>
      </c>
      <c r="B7" s="14">
        <v>8438</v>
      </c>
      <c r="C7" s="15">
        <f t="shared" si="0"/>
        <v>4</v>
      </c>
      <c r="D7" s="14">
        <f t="shared" si="1"/>
        <v>94</v>
      </c>
    </row>
    <row r="8" spans="1:10" x14ac:dyDescent="0.25">
      <c r="A8" s="15">
        <v>-32</v>
      </c>
      <c r="B8" s="14">
        <v>8457</v>
      </c>
      <c r="C8" s="15">
        <f t="shared" si="0"/>
        <v>6</v>
      </c>
      <c r="D8" s="14">
        <f t="shared" si="1"/>
        <v>113</v>
      </c>
    </row>
    <row r="9" spans="1:10" x14ac:dyDescent="0.25">
      <c r="A9" s="15">
        <v>-29</v>
      </c>
      <c r="B9" s="14">
        <v>8475</v>
      </c>
      <c r="C9" s="15">
        <f t="shared" si="0"/>
        <v>9</v>
      </c>
      <c r="D9" s="14">
        <f t="shared" si="1"/>
        <v>131</v>
      </c>
    </row>
    <row r="10" spans="1:10" x14ac:dyDescent="0.25">
      <c r="A10" s="15">
        <v>-26</v>
      </c>
      <c r="B10" s="14">
        <v>8495</v>
      </c>
      <c r="C10" s="15">
        <f t="shared" si="0"/>
        <v>12</v>
      </c>
      <c r="D10" s="14">
        <f t="shared" si="1"/>
        <v>151</v>
      </c>
    </row>
    <row r="11" spans="1:10" x14ac:dyDescent="0.25">
      <c r="A11" s="15">
        <v>-22</v>
      </c>
      <c r="B11" s="14">
        <v>8513</v>
      </c>
      <c r="C11" s="15">
        <f t="shared" si="0"/>
        <v>16</v>
      </c>
      <c r="D11" s="14">
        <f t="shared" si="1"/>
        <v>169</v>
      </c>
    </row>
    <row r="12" spans="1:10" x14ac:dyDescent="0.25">
      <c r="A12" s="15">
        <v>-20</v>
      </c>
      <c r="B12" s="14">
        <v>8531</v>
      </c>
      <c r="C12" s="15">
        <f t="shared" si="0"/>
        <v>18</v>
      </c>
      <c r="D12" s="14">
        <f t="shared" si="1"/>
        <v>187</v>
      </c>
    </row>
    <row r="13" spans="1:10" x14ac:dyDescent="0.25">
      <c r="A13" s="15">
        <v>-17</v>
      </c>
      <c r="B13" s="14">
        <v>8550</v>
      </c>
      <c r="C13" s="15">
        <f t="shared" si="0"/>
        <v>21</v>
      </c>
      <c r="D13" s="14">
        <f t="shared" si="1"/>
        <v>206</v>
      </c>
    </row>
    <row r="14" spans="1:10" x14ac:dyDescent="0.25">
      <c r="A14" s="15">
        <v>-14</v>
      </c>
      <c r="B14" s="14">
        <v>8569</v>
      </c>
      <c r="C14" s="15">
        <f t="shared" si="0"/>
        <v>24</v>
      </c>
      <c r="D14" s="14">
        <f t="shared" si="1"/>
        <v>225</v>
      </c>
    </row>
    <row r="15" spans="1:10" x14ac:dyDescent="0.25">
      <c r="A15" s="15">
        <v>-12</v>
      </c>
      <c r="B15" s="14">
        <v>8588</v>
      </c>
      <c r="C15" s="15">
        <f t="shared" si="0"/>
        <v>26</v>
      </c>
      <c r="D15" s="14">
        <f t="shared" si="1"/>
        <v>244</v>
      </c>
    </row>
    <row r="16" spans="1:10" x14ac:dyDescent="0.25">
      <c r="A16" s="15">
        <v>-10</v>
      </c>
      <c r="B16" s="14">
        <v>8606</v>
      </c>
      <c r="C16" s="15">
        <f t="shared" si="0"/>
        <v>28</v>
      </c>
      <c r="D16" s="14">
        <f t="shared" si="1"/>
        <v>262</v>
      </c>
    </row>
    <row r="17" spans="1:11" x14ac:dyDescent="0.25">
      <c r="A17" s="15">
        <v>-8</v>
      </c>
      <c r="B17" s="14">
        <v>8626</v>
      </c>
      <c r="C17" s="15">
        <f t="shared" si="0"/>
        <v>30</v>
      </c>
      <c r="D17" s="14">
        <f t="shared" si="1"/>
        <v>282</v>
      </c>
    </row>
    <row r="18" spans="1:11" x14ac:dyDescent="0.25">
      <c r="A18" s="15">
        <v>-5</v>
      </c>
      <c r="B18" s="14">
        <v>8643</v>
      </c>
      <c r="C18" s="15">
        <f t="shared" si="0"/>
        <v>33</v>
      </c>
      <c r="D18" s="14">
        <f t="shared" si="1"/>
        <v>299</v>
      </c>
    </row>
    <row r="19" spans="1:11" x14ac:dyDescent="0.25">
      <c r="A19" s="15">
        <v>-3</v>
      </c>
      <c r="B19" s="14">
        <v>8660</v>
      </c>
      <c r="C19" s="15">
        <f t="shared" si="0"/>
        <v>35</v>
      </c>
      <c r="D19" s="14">
        <f t="shared" si="1"/>
        <v>316</v>
      </c>
    </row>
    <row r="20" spans="1:11" x14ac:dyDescent="0.25">
      <c r="A20" s="15">
        <v>0</v>
      </c>
      <c r="B20" s="14">
        <v>8678</v>
      </c>
      <c r="C20" s="15">
        <f t="shared" si="0"/>
        <v>38</v>
      </c>
      <c r="D20" s="14">
        <f t="shared" si="1"/>
        <v>334</v>
      </c>
    </row>
    <row r="21" spans="1:11" x14ac:dyDescent="0.25">
      <c r="A21" s="15">
        <v>2</v>
      </c>
      <c r="B21" s="14">
        <v>8695</v>
      </c>
      <c r="C21" s="15">
        <f t="shared" si="0"/>
        <v>40</v>
      </c>
      <c r="D21" s="14">
        <f t="shared" si="1"/>
        <v>351</v>
      </c>
    </row>
    <row r="22" spans="1:11" x14ac:dyDescent="0.25">
      <c r="A22" s="15">
        <v>4</v>
      </c>
      <c r="B22" s="14">
        <v>8712</v>
      </c>
      <c r="C22" s="15">
        <f t="shared" si="0"/>
        <v>42</v>
      </c>
      <c r="D22" s="14">
        <f t="shared" si="1"/>
        <v>368</v>
      </c>
    </row>
    <row r="23" spans="1:11" x14ac:dyDescent="0.25">
      <c r="A23" s="15">
        <v>7</v>
      </c>
      <c r="B23" s="14">
        <v>8728</v>
      </c>
      <c r="C23" s="15">
        <f t="shared" si="0"/>
        <v>45</v>
      </c>
      <c r="D23" s="14">
        <f t="shared" si="1"/>
        <v>384</v>
      </c>
    </row>
    <row r="24" spans="1:11" x14ac:dyDescent="0.25">
      <c r="A24" s="15">
        <v>9</v>
      </c>
      <c r="B24" s="14">
        <v>8744</v>
      </c>
      <c r="C24" s="15">
        <f t="shared" si="0"/>
        <v>47</v>
      </c>
      <c r="D24" s="14">
        <f t="shared" si="1"/>
        <v>400</v>
      </c>
    </row>
    <row r="25" spans="1:11" x14ac:dyDescent="0.25">
      <c r="A25" s="15">
        <v>12</v>
      </c>
      <c r="B25" s="14">
        <v>8762</v>
      </c>
      <c r="C25" s="15">
        <f t="shared" si="0"/>
        <v>50</v>
      </c>
      <c r="D25" s="14">
        <f t="shared" si="1"/>
        <v>418</v>
      </c>
      <c r="F25" s="15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</row>
    <row r="26" spans="1:11" x14ac:dyDescent="0.25">
      <c r="A26" s="15">
        <v>15</v>
      </c>
      <c r="B26" s="14">
        <v>8779</v>
      </c>
      <c r="C26" s="15">
        <f t="shared" si="0"/>
        <v>53</v>
      </c>
      <c r="D26" s="14">
        <f t="shared" si="1"/>
        <v>435</v>
      </c>
      <c r="F26" s="14">
        <f>D27</f>
        <v>453</v>
      </c>
      <c r="G26" s="12">
        <f>C27</f>
        <v>56</v>
      </c>
      <c r="H26" s="12">
        <f>D28</f>
        <v>470</v>
      </c>
      <c r="I26" s="12">
        <f>C28</f>
        <v>59</v>
      </c>
      <c r="J26" s="1">
        <v>7.8814749290000004</v>
      </c>
      <c r="K26">
        <f>RADIANS(((G26-I26)/(F26-H26))*1000)</f>
        <v>3.0799927976370522</v>
      </c>
    </row>
    <row r="27" spans="1:11" x14ac:dyDescent="0.25">
      <c r="A27" s="15">
        <v>18</v>
      </c>
      <c r="B27" s="14">
        <v>8797</v>
      </c>
      <c r="C27" s="15">
        <f t="shared" si="0"/>
        <v>56</v>
      </c>
      <c r="D27" s="14">
        <f t="shared" si="1"/>
        <v>453</v>
      </c>
      <c r="F27" s="15" t="s">
        <v>15</v>
      </c>
      <c r="G27" s="1">
        <f>(I26-G26)/(H26-F26)</f>
        <v>0.17647058823529413</v>
      </c>
      <c r="H27" s="1" t="s">
        <v>16</v>
      </c>
      <c r="I27" s="1">
        <f>I26-G27*H26</f>
        <v>-23.941176470588246</v>
      </c>
    </row>
    <row r="28" spans="1:11" x14ac:dyDescent="0.25">
      <c r="A28" s="15">
        <v>21</v>
      </c>
      <c r="B28" s="14">
        <v>8814</v>
      </c>
      <c r="C28" s="15">
        <f t="shared" si="0"/>
        <v>59</v>
      </c>
      <c r="D28" s="14">
        <f t="shared" si="1"/>
        <v>470</v>
      </c>
      <c r="F28" s="15" t="s">
        <v>17</v>
      </c>
      <c r="G28" s="1">
        <f>J26/K26</f>
        <v>2.5589264153625977</v>
      </c>
      <c r="H28" s="1" t="s">
        <v>18</v>
      </c>
      <c r="I28" s="1">
        <f>-I27/G27</f>
        <v>135.66666666666671</v>
      </c>
    </row>
    <row r="29" spans="1:11" x14ac:dyDescent="0.25">
      <c r="D29" s="14"/>
    </row>
    <row r="30" spans="1:11" x14ac:dyDescent="0.25">
      <c r="D30" s="14"/>
    </row>
    <row r="31" spans="1:11" x14ac:dyDescent="0.25">
      <c r="D31" s="14"/>
    </row>
    <row r="32" spans="1:11" x14ac:dyDescent="0.25">
      <c r="D32" s="14"/>
    </row>
    <row r="33" spans="4:4" x14ac:dyDescent="0.25">
      <c r="D33" s="14"/>
    </row>
    <row r="34" spans="4:4" x14ac:dyDescent="0.25">
      <c r="D34" s="14"/>
    </row>
    <row r="35" spans="4:4" x14ac:dyDescent="0.25">
      <c r="D35" s="14"/>
    </row>
    <row r="36" spans="4:4" x14ac:dyDescent="0.25">
      <c r="D36" s="14"/>
    </row>
    <row r="37" spans="4:4" x14ac:dyDescent="0.25">
      <c r="D37" s="14"/>
    </row>
    <row r="38" spans="4:4" x14ac:dyDescent="0.25">
      <c r="D38" s="14"/>
    </row>
    <row r="39" spans="4:4" x14ac:dyDescent="0.25">
      <c r="D39" s="14"/>
    </row>
    <row r="40" spans="4:4" x14ac:dyDescent="0.25">
      <c r="D40" s="14"/>
    </row>
    <row r="41" spans="4:4" x14ac:dyDescent="0.25">
      <c r="D41" s="14"/>
    </row>
    <row r="42" spans="4:4" x14ac:dyDescent="0.25">
      <c r="D42" s="14"/>
    </row>
    <row r="43" spans="4:4" x14ac:dyDescent="0.25">
      <c r="D43" s="14"/>
    </row>
    <row r="44" spans="4:4" x14ac:dyDescent="0.25">
      <c r="D44" s="14"/>
    </row>
    <row r="45" spans="4:4" x14ac:dyDescent="0.25">
      <c r="D45" s="14"/>
    </row>
    <row r="46" spans="4:4" x14ac:dyDescent="0.25">
      <c r="D46" s="14"/>
    </row>
    <row r="47" spans="4:4" x14ac:dyDescent="0.25">
      <c r="D47" s="14"/>
    </row>
    <row r="48" spans="4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4:5" x14ac:dyDescent="0.25">
      <c r="D65" s="14"/>
    </row>
    <row r="66" spans="4:5" x14ac:dyDescent="0.25">
      <c r="D66" s="14"/>
    </row>
    <row r="67" spans="4:5" x14ac:dyDescent="0.25">
      <c r="D67" s="14"/>
    </row>
    <row r="68" spans="4:5" x14ac:dyDescent="0.25">
      <c r="D68" s="14"/>
    </row>
    <row r="80" spans="4:5" x14ac:dyDescent="0.25">
      <c r="E80" s="23"/>
    </row>
    <row r="124" spans="3:3" x14ac:dyDescent="0.25">
      <c r="C124" s="23"/>
    </row>
    <row r="168" spans="3:3" x14ac:dyDescent="0.25">
      <c r="C168" s="23"/>
    </row>
    <row r="212" spans="3:3" x14ac:dyDescent="0.25">
      <c r="C212" s="23"/>
    </row>
    <row r="300" spans="5:5" x14ac:dyDescent="0.25">
      <c r="E300" s="23"/>
    </row>
    <row r="344" spans="3:3" x14ac:dyDescent="0.25">
      <c r="C344" s="23"/>
    </row>
    <row r="388" spans="1:3" x14ac:dyDescent="0.25">
      <c r="C388" s="23"/>
    </row>
    <row r="398" spans="1:3" x14ac:dyDescent="0.25">
      <c r="A398" s="15">
        <v>-38</v>
      </c>
      <c r="B398" s="14">
        <v>8344</v>
      </c>
    </row>
    <row r="399" spans="1:3" x14ac:dyDescent="0.25">
      <c r="A399" s="15">
        <v>-39</v>
      </c>
      <c r="B399" s="14">
        <v>8364</v>
      </c>
    </row>
    <row r="400" spans="1:3" x14ac:dyDescent="0.25">
      <c r="A400" s="15">
        <v>-39</v>
      </c>
      <c r="B400" s="14">
        <v>8382</v>
      </c>
    </row>
    <row r="401" spans="1:2" x14ac:dyDescent="0.25">
      <c r="A401" s="15">
        <v>-38</v>
      </c>
      <c r="B401" s="14">
        <v>8400</v>
      </c>
    </row>
    <row r="402" spans="1:2" x14ac:dyDescent="0.25">
      <c r="A402" s="15">
        <v>-36</v>
      </c>
      <c r="B402" s="14">
        <v>8419</v>
      </c>
    </row>
    <row r="403" spans="1:2" x14ac:dyDescent="0.25">
      <c r="A403" s="15">
        <v>-34</v>
      </c>
      <c r="B403" s="14">
        <v>8438</v>
      </c>
    </row>
    <row r="404" spans="1:2" x14ac:dyDescent="0.25">
      <c r="A404" s="15">
        <v>-32</v>
      </c>
      <c r="B404" s="14">
        <v>8457</v>
      </c>
    </row>
    <row r="405" spans="1:2" x14ac:dyDescent="0.25">
      <c r="A405" s="15">
        <v>-29</v>
      </c>
      <c r="B405" s="14">
        <v>8475</v>
      </c>
    </row>
    <row r="406" spans="1:2" x14ac:dyDescent="0.25">
      <c r="A406" s="15">
        <v>-26</v>
      </c>
      <c r="B406" s="14">
        <v>8495</v>
      </c>
    </row>
    <row r="407" spans="1:2" x14ac:dyDescent="0.25">
      <c r="A407" s="15">
        <v>-22</v>
      </c>
      <c r="B407" s="14">
        <v>8513</v>
      </c>
    </row>
    <row r="408" spans="1:2" x14ac:dyDescent="0.25">
      <c r="A408" s="15">
        <v>-20</v>
      </c>
      <c r="B408" s="14">
        <v>8531</v>
      </c>
    </row>
    <row r="409" spans="1:2" x14ac:dyDescent="0.25">
      <c r="A409" s="15">
        <v>-17</v>
      </c>
      <c r="B409" s="14">
        <v>8550</v>
      </c>
    </row>
    <row r="410" spans="1:2" x14ac:dyDescent="0.25">
      <c r="A410" s="15">
        <v>-14</v>
      </c>
      <c r="B410" s="14">
        <v>8569</v>
      </c>
    </row>
    <row r="411" spans="1:2" x14ac:dyDescent="0.25">
      <c r="A411" s="15">
        <v>-12</v>
      </c>
      <c r="B411" s="14">
        <v>8588</v>
      </c>
    </row>
    <row r="412" spans="1:2" x14ac:dyDescent="0.25">
      <c r="A412" s="15">
        <v>-10</v>
      </c>
      <c r="B412" s="14">
        <v>8606</v>
      </c>
    </row>
    <row r="413" spans="1:2" x14ac:dyDescent="0.25">
      <c r="A413" s="15">
        <v>-8</v>
      </c>
      <c r="B413" s="14">
        <v>8626</v>
      </c>
    </row>
    <row r="414" spans="1:2" x14ac:dyDescent="0.25">
      <c r="A414" s="15">
        <v>-5</v>
      </c>
      <c r="B414" s="14">
        <v>8643</v>
      </c>
    </row>
    <row r="415" spans="1:2" x14ac:dyDescent="0.25">
      <c r="A415" s="15">
        <v>-3</v>
      </c>
      <c r="B415" s="14">
        <v>8660</v>
      </c>
    </row>
    <row r="416" spans="1:2" x14ac:dyDescent="0.25">
      <c r="A416" s="15">
        <v>0</v>
      </c>
      <c r="B416" s="14">
        <v>8678</v>
      </c>
    </row>
    <row r="417" spans="1:3" x14ac:dyDescent="0.25">
      <c r="A417" s="15">
        <v>2</v>
      </c>
      <c r="B417" s="14">
        <v>8695</v>
      </c>
    </row>
    <row r="418" spans="1:3" x14ac:dyDescent="0.25">
      <c r="A418" s="15">
        <v>4</v>
      </c>
      <c r="B418" s="14">
        <v>8712</v>
      </c>
    </row>
    <row r="419" spans="1:3" x14ac:dyDescent="0.25">
      <c r="A419" s="15">
        <v>7</v>
      </c>
      <c r="B419" s="14">
        <v>8728</v>
      </c>
    </row>
    <row r="420" spans="1:3" x14ac:dyDescent="0.25">
      <c r="A420" s="15">
        <v>9</v>
      </c>
      <c r="B420" s="14">
        <v>8744</v>
      </c>
    </row>
    <row r="421" spans="1:3" x14ac:dyDescent="0.25">
      <c r="A421" s="15">
        <v>12</v>
      </c>
      <c r="B421" s="14">
        <v>8762</v>
      </c>
    </row>
    <row r="422" spans="1:3" x14ac:dyDescent="0.25">
      <c r="A422" s="15">
        <v>15</v>
      </c>
      <c r="B422" s="14">
        <v>8779</v>
      </c>
    </row>
    <row r="423" spans="1:3" x14ac:dyDescent="0.25">
      <c r="A423" s="15">
        <v>18</v>
      </c>
      <c r="B423" s="14">
        <v>8797</v>
      </c>
    </row>
    <row r="424" spans="1:3" x14ac:dyDescent="0.25">
      <c r="A424" s="15">
        <v>21</v>
      </c>
      <c r="B424" s="14">
        <v>8814</v>
      </c>
    </row>
    <row r="425" spans="1:3" x14ac:dyDescent="0.25">
      <c r="A425" s="15">
        <v>23</v>
      </c>
      <c r="B425" s="14">
        <v>8833</v>
      </c>
    </row>
    <row r="426" spans="1:3" x14ac:dyDescent="0.25">
      <c r="A426" s="15">
        <v>25</v>
      </c>
      <c r="B426" s="14">
        <v>8850</v>
      </c>
    </row>
    <row r="427" spans="1:3" x14ac:dyDescent="0.25">
      <c r="A427" s="15">
        <v>26</v>
      </c>
      <c r="B427" s="14">
        <v>8867</v>
      </c>
    </row>
    <row r="428" spans="1:3" x14ac:dyDescent="0.25">
      <c r="A428" s="15">
        <v>26</v>
      </c>
      <c r="B428" s="14">
        <v>8885</v>
      </c>
    </row>
    <row r="429" spans="1:3" x14ac:dyDescent="0.25">
      <c r="A429" s="15">
        <v>25</v>
      </c>
      <c r="B429" s="14">
        <v>8903</v>
      </c>
    </row>
    <row r="430" spans="1:3" x14ac:dyDescent="0.25">
      <c r="A430" s="15">
        <v>25</v>
      </c>
      <c r="B430" s="14">
        <v>8921</v>
      </c>
    </row>
    <row r="431" spans="1:3" x14ac:dyDescent="0.25">
      <c r="A431" s="15">
        <v>25</v>
      </c>
      <c r="B431" s="14">
        <v>8938</v>
      </c>
    </row>
    <row r="432" spans="1:3" x14ac:dyDescent="0.25">
      <c r="A432" s="15">
        <v>25</v>
      </c>
      <c r="B432" s="14">
        <v>8956</v>
      </c>
      <c r="C432" s="23"/>
    </row>
    <row r="433" spans="1:2" x14ac:dyDescent="0.25">
      <c r="A433" s="15">
        <v>24</v>
      </c>
      <c r="B433" s="14">
        <v>8974</v>
      </c>
    </row>
    <row r="434" spans="1:2" x14ac:dyDescent="0.25">
      <c r="A434" s="15">
        <v>24</v>
      </c>
      <c r="B434" s="14">
        <v>8991</v>
      </c>
    </row>
    <row r="435" spans="1:2" x14ac:dyDescent="0.25">
      <c r="A435" s="15">
        <v>25</v>
      </c>
      <c r="B435" s="14">
        <v>9009</v>
      </c>
    </row>
    <row r="436" spans="1:2" x14ac:dyDescent="0.25">
      <c r="A436" s="15">
        <v>25</v>
      </c>
      <c r="B436" s="14">
        <v>9027</v>
      </c>
    </row>
    <row r="437" spans="1:2" x14ac:dyDescent="0.25">
      <c r="A437" s="15">
        <v>25</v>
      </c>
      <c r="B437" s="14">
        <v>9044</v>
      </c>
    </row>
    <row r="438" spans="1:2" x14ac:dyDescent="0.25">
      <c r="A438" s="15">
        <v>25</v>
      </c>
      <c r="B438" s="14">
        <v>9062</v>
      </c>
    </row>
    <row r="439" spans="1:2" x14ac:dyDescent="0.25">
      <c r="A439" s="15">
        <v>26</v>
      </c>
      <c r="B439" s="14">
        <v>9079</v>
      </c>
    </row>
    <row r="440" spans="1:2" x14ac:dyDescent="0.25">
      <c r="A440" s="15">
        <v>26</v>
      </c>
      <c r="B440" s="14">
        <v>9098</v>
      </c>
    </row>
    <row r="441" spans="1:2" x14ac:dyDescent="0.25">
      <c r="A441" s="15">
        <v>27</v>
      </c>
      <c r="B441" s="14">
        <v>9115</v>
      </c>
    </row>
    <row r="476" spans="3:3" x14ac:dyDescent="0.25">
      <c r="C476" s="23"/>
    </row>
    <row r="520" spans="3:3" x14ac:dyDescent="0.25">
      <c r="C520" s="23"/>
    </row>
    <row r="564" spans="3:3" x14ac:dyDescent="0.25">
      <c r="C564" s="23"/>
    </row>
    <row r="697" spans="3:3" x14ac:dyDescent="0.25">
      <c r="C697" s="23"/>
    </row>
    <row r="741" spans="3:3" x14ac:dyDescent="0.25">
      <c r="C741" s="23"/>
    </row>
    <row r="785" spans="3:3" x14ac:dyDescent="0.25">
      <c r="C785" s="23"/>
    </row>
    <row r="829" spans="3:3" x14ac:dyDescent="0.25">
      <c r="C829" s="23"/>
    </row>
    <row r="873" spans="3:3" x14ac:dyDescent="0.25">
      <c r="C873" s="23"/>
    </row>
    <row r="917" spans="3:3" x14ac:dyDescent="0.25">
      <c r="C917" s="23"/>
    </row>
    <row r="961" spans="3:3" x14ac:dyDescent="0.25">
      <c r="C961" s="23"/>
    </row>
    <row r="1005" spans="3:3" x14ac:dyDescent="0.25">
      <c r="C1005" s="23"/>
    </row>
    <row r="1049" spans="3:3" x14ac:dyDescent="0.25">
      <c r="C1049" s="23"/>
    </row>
    <row r="1093" spans="3:3" x14ac:dyDescent="0.25">
      <c r="C1093" s="23"/>
    </row>
    <row r="1137" spans="3:3" x14ac:dyDescent="0.25">
      <c r="C1137" s="23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796875"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796875"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7"/>
      <c r="E4" s="22"/>
    </row>
    <row r="5" spans="1:5" ht="13.5" thickBot="1" x14ac:dyDescent="0.35">
      <c r="A5" s="8"/>
      <c r="B5" s="9"/>
    </row>
    <row r="6" spans="1:5" ht="13" x14ac:dyDescent="0.3">
      <c r="A6" s="18"/>
      <c r="B6" s="19"/>
    </row>
    <row r="7" spans="1:5" ht="13.5" thickBot="1" x14ac:dyDescent="0.35">
      <c r="A7" s="20"/>
      <c r="B7" s="21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Yovany Vargas</cp:lastModifiedBy>
  <dcterms:created xsi:type="dcterms:W3CDTF">2002-07-12T16:49:39Z</dcterms:created>
  <dcterms:modified xsi:type="dcterms:W3CDTF">2024-09-03T21:45:29Z</dcterms:modified>
</cp:coreProperties>
</file>