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SERVO\M1\"/>
    </mc:Choice>
  </mc:AlternateContent>
  <xr:revisionPtr revIDLastSave="0" documentId="13_ncr:1_{FD10F06A-BF14-4DD3-90F4-13470665936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8" i="1" l="1"/>
  <c r="H58" i="1"/>
  <c r="G58" i="1"/>
  <c r="F5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K58" i="1" l="1"/>
  <c r="G60" i="1" s="1"/>
  <c r="G59" i="1"/>
  <c r="I59" i="1" s="1"/>
  <c r="I60" i="1" s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<sst xmlns="http://schemas.openxmlformats.org/spreadsheetml/2006/main" count="22" uniqueCount="19">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</sst>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Data'!$D$2:$D$62</c:f>
              <c:numCache>
                <c:formatCode>0.00</c:formatCode>
                <c:ptCount val="61"/>
                <c:pt idx="0">
                  <c:v>0</c:v>
                </c:pt>
                <c:pt idx="1">
                  <c:v>19</c:v>
                </c:pt>
                <c:pt idx="2">
                  <c:v>38</c:v>
                </c:pt>
                <c:pt idx="3">
                  <c:v>57</c:v>
                </c:pt>
                <c:pt idx="4">
                  <c:v>75</c:v>
                </c:pt>
                <c:pt idx="5">
                  <c:v>94</c:v>
                </c:pt>
                <c:pt idx="6">
                  <c:v>113</c:v>
                </c:pt>
                <c:pt idx="7">
                  <c:v>131</c:v>
                </c:pt>
                <c:pt idx="8">
                  <c:v>150</c:v>
                </c:pt>
                <c:pt idx="9">
                  <c:v>169</c:v>
                </c:pt>
                <c:pt idx="10">
                  <c:v>188</c:v>
                </c:pt>
                <c:pt idx="11">
                  <c:v>206</c:v>
                </c:pt>
                <c:pt idx="12">
                  <c:v>225</c:v>
                </c:pt>
                <c:pt idx="13">
                  <c:v>244</c:v>
                </c:pt>
                <c:pt idx="14">
                  <c:v>262</c:v>
                </c:pt>
                <c:pt idx="15">
                  <c:v>281</c:v>
                </c:pt>
                <c:pt idx="16">
                  <c:v>300</c:v>
                </c:pt>
                <c:pt idx="17">
                  <c:v>319</c:v>
                </c:pt>
                <c:pt idx="18">
                  <c:v>337</c:v>
                </c:pt>
                <c:pt idx="19">
                  <c:v>356</c:v>
                </c:pt>
                <c:pt idx="20">
                  <c:v>375</c:v>
                </c:pt>
                <c:pt idx="21">
                  <c:v>394</c:v>
                </c:pt>
                <c:pt idx="22">
                  <c:v>412</c:v>
                </c:pt>
                <c:pt idx="23">
                  <c:v>431</c:v>
                </c:pt>
                <c:pt idx="24">
                  <c:v>450</c:v>
                </c:pt>
                <c:pt idx="25">
                  <c:v>468</c:v>
                </c:pt>
                <c:pt idx="26">
                  <c:v>487</c:v>
                </c:pt>
                <c:pt idx="27">
                  <c:v>506</c:v>
                </c:pt>
                <c:pt idx="28">
                  <c:v>525</c:v>
                </c:pt>
                <c:pt idx="29">
                  <c:v>543</c:v>
                </c:pt>
                <c:pt idx="30">
                  <c:v>563</c:v>
                </c:pt>
                <c:pt idx="31">
                  <c:v>581</c:v>
                </c:pt>
                <c:pt idx="32">
                  <c:v>599</c:v>
                </c:pt>
                <c:pt idx="33">
                  <c:v>618</c:v>
                </c:pt>
                <c:pt idx="34">
                  <c:v>637</c:v>
                </c:pt>
                <c:pt idx="35">
                  <c:v>656</c:v>
                </c:pt>
                <c:pt idx="36">
                  <c:v>674</c:v>
                </c:pt>
                <c:pt idx="37">
                  <c:v>693</c:v>
                </c:pt>
                <c:pt idx="38">
                  <c:v>712</c:v>
                </c:pt>
                <c:pt idx="39">
                  <c:v>730</c:v>
                </c:pt>
                <c:pt idx="40">
                  <c:v>749</c:v>
                </c:pt>
                <c:pt idx="41">
                  <c:v>768</c:v>
                </c:pt>
                <c:pt idx="42">
                  <c:v>787</c:v>
                </c:pt>
                <c:pt idx="43">
                  <c:v>805</c:v>
                </c:pt>
                <c:pt idx="44">
                  <c:v>824</c:v>
                </c:pt>
                <c:pt idx="45">
                  <c:v>843</c:v>
                </c:pt>
                <c:pt idx="46">
                  <c:v>862</c:v>
                </c:pt>
                <c:pt idx="47">
                  <c:v>880</c:v>
                </c:pt>
                <c:pt idx="48">
                  <c:v>899</c:v>
                </c:pt>
                <c:pt idx="49">
                  <c:v>918</c:v>
                </c:pt>
                <c:pt idx="50">
                  <c:v>936</c:v>
                </c:pt>
                <c:pt idx="51">
                  <c:v>955</c:v>
                </c:pt>
                <c:pt idx="52">
                  <c:v>974</c:v>
                </c:pt>
                <c:pt idx="53">
                  <c:v>993</c:v>
                </c:pt>
                <c:pt idx="54">
                  <c:v>1011</c:v>
                </c:pt>
                <c:pt idx="55">
                  <c:v>1030</c:v>
                </c:pt>
                <c:pt idx="56">
                  <c:v>1049</c:v>
                </c:pt>
                <c:pt idx="57">
                  <c:v>1067</c:v>
                </c:pt>
                <c:pt idx="58">
                  <c:v>1086</c:v>
                </c:pt>
                <c:pt idx="59">
                  <c:v>1105</c:v>
                </c:pt>
                <c:pt idx="60">
                  <c:v>1124</c:v>
                </c:pt>
              </c:numCache>
            </c:numRef>
          </c:xVal>
          <c:yVal>
            <c:numRef>
              <c:f>'Simple Data'!$C$2:$C$62</c:f>
              <c:numCache>
                <c:formatCode>General</c:formatCode>
                <c:ptCount val="61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  <c:pt idx="6">
                  <c:v>-4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8</c:v>
                </c:pt>
                <c:pt idx="12">
                  <c:v>10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18</c:v>
                </c:pt>
                <c:pt idx="17">
                  <c:v>20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28</c:v>
                </c:pt>
                <c:pt idx="24">
                  <c:v>27</c:v>
                </c:pt>
                <c:pt idx="25">
                  <c:v>28</c:v>
                </c:pt>
                <c:pt idx="26">
                  <c:v>27</c:v>
                </c:pt>
                <c:pt idx="27">
                  <c:v>27</c:v>
                </c:pt>
                <c:pt idx="28">
                  <c:v>28</c:v>
                </c:pt>
                <c:pt idx="29">
                  <c:v>28</c:v>
                </c:pt>
                <c:pt idx="30">
                  <c:v>29</c:v>
                </c:pt>
                <c:pt idx="31">
                  <c:v>30</c:v>
                </c:pt>
                <c:pt idx="32">
                  <c:v>30</c:v>
                </c:pt>
                <c:pt idx="33">
                  <c:v>31</c:v>
                </c:pt>
                <c:pt idx="34">
                  <c:v>32</c:v>
                </c:pt>
                <c:pt idx="35">
                  <c:v>32</c:v>
                </c:pt>
                <c:pt idx="36">
                  <c:v>33</c:v>
                </c:pt>
                <c:pt idx="37">
                  <c:v>35</c:v>
                </c:pt>
                <c:pt idx="38">
                  <c:v>36</c:v>
                </c:pt>
                <c:pt idx="39">
                  <c:v>38</c:v>
                </c:pt>
                <c:pt idx="40">
                  <c:v>40</c:v>
                </c:pt>
                <c:pt idx="41">
                  <c:v>42</c:v>
                </c:pt>
                <c:pt idx="42">
                  <c:v>44</c:v>
                </c:pt>
                <c:pt idx="43">
                  <c:v>46</c:v>
                </c:pt>
                <c:pt idx="44">
                  <c:v>48</c:v>
                </c:pt>
                <c:pt idx="45">
                  <c:v>50</c:v>
                </c:pt>
                <c:pt idx="46">
                  <c:v>52</c:v>
                </c:pt>
                <c:pt idx="47">
                  <c:v>55</c:v>
                </c:pt>
                <c:pt idx="48">
                  <c:v>58</c:v>
                </c:pt>
                <c:pt idx="49">
                  <c:v>61</c:v>
                </c:pt>
                <c:pt idx="50">
                  <c:v>64</c:v>
                </c:pt>
                <c:pt idx="51">
                  <c:v>67</c:v>
                </c:pt>
                <c:pt idx="52">
                  <c:v>71</c:v>
                </c:pt>
                <c:pt idx="53">
                  <c:v>74</c:v>
                </c:pt>
                <c:pt idx="54">
                  <c:v>78</c:v>
                </c:pt>
                <c:pt idx="55">
                  <c:v>82</c:v>
                </c:pt>
                <c:pt idx="56">
                  <c:v>86</c:v>
                </c:pt>
                <c:pt idx="57">
                  <c:v>90</c:v>
                </c:pt>
                <c:pt idx="58">
                  <c:v>93</c:v>
                </c:pt>
                <c:pt idx="59">
                  <c:v>97</c:v>
                </c:pt>
                <c:pt idx="60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6B-444B-A027-FFC65C34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132063"/>
        <c:axId val="821127743"/>
      </c:scatterChart>
      <c:valAx>
        <c:axId val="8211320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27743"/>
        <c:crosses val="autoZero"/>
        <c:crossBetween val="midCat"/>
      </c:valAx>
      <c:valAx>
        <c:axId val="821127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11320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1</xdr:row>
      <xdr:rowOff>107950</xdr:rowOff>
    </xdr:from>
    <xdr:to>
      <xdr:col>13</xdr:col>
      <xdr:colOff>492125</xdr:colOff>
      <xdr:row>18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B38564A-97D4-803D-6300-4CCD2F9BDE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900"/>
  <sheetViews>
    <sheetView tabSelected="1" topLeftCell="A47" workbookViewId="0">
      <selection activeCell="F57" sqref="F57:K60"/>
    </sheetView>
  </sheetViews>
  <sheetFormatPr baseColWidth="10" defaultColWidth="9.1796875" defaultRowHeight="12.5" x14ac:dyDescent="0.25"/>
  <cols>
    <col min="1" max="1" width="18.81640625" style="16" customWidth="1"/>
    <col min="2" max="2" width="15" style="15" customWidth="1"/>
    <col min="3" max="3" width="9" style="16" customWidth="1"/>
    <col min="4" max="4" width="9.1796875" style="16"/>
    <col min="5" max="5" width="10.26953125" style="16" bestFit="1" customWidth="1"/>
    <col min="6" max="6" width="9.1796875" style="16"/>
    <col min="7" max="7" width="9.1796875" style="1"/>
    <col min="8" max="8" width="15.26953125" style="1" bestFit="1" customWidth="1"/>
    <col min="9" max="9" width="6.36328125" style="1" bestFit="1" customWidth="1"/>
    <col min="10" max="10" width="9.1796875" style="1"/>
  </cols>
  <sheetData>
    <row r="1" spans="1:10" s="17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6">
        <v>154</v>
      </c>
      <c r="B2" s="15">
        <v>3533</v>
      </c>
      <c r="C2" s="16">
        <f t="shared" ref="C2:C55" si="0">A2-154</f>
        <v>0</v>
      </c>
      <c r="D2" s="15">
        <f>B2-3533</f>
        <v>0</v>
      </c>
    </row>
    <row r="3" spans="1:10" x14ac:dyDescent="0.25">
      <c r="A3" s="16">
        <v>153</v>
      </c>
      <c r="B3" s="15">
        <v>3552</v>
      </c>
      <c r="C3" s="16">
        <f t="shared" si="0"/>
        <v>-1</v>
      </c>
      <c r="D3" s="15">
        <f t="shared" ref="D3:D62" si="1">B3-3533</f>
        <v>19</v>
      </c>
    </row>
    <row r="4" spans="1:10" x14ac:dyDescent="0.25">
      <c r="A4" s="16">
        <v>153</v>
      </c>
      <c r="B4" s="15">
        <v>3571</v>
      </c>
      <c r="C4" s="16">
        <f t="shared" si="0"/>
        <v>-1</v>
      </c>
      <c r="D4" s="15">
        <f t="shared" si="1"/>
        <v>38</v>
      </c>
    </row>
    <row r="5" spans="1:10" x14ac:dyDescent="0.25">
      <c r="A5" s="16">
        <v>152</v>
      </c>
      <c r="B5" s="15">
        <v>3590</v>
      </c>
      <c r="C5" s="16">
        <f t="shared" si="0"/>
        <v>-2</v>
      </c>
      <c r="D5" s="15">
        <f t="shared" si="1"/>
        <v>57</v>
      </c>
    </row>
    <row r="6" spans="1:10" x14ac:dyDescent="0.25">
      <c r="A6" s="16">
        <v>150</v>
      </c>
      <c r="B6" s="15">
        <v>3608</v>
      </c>
      <c r="C6" s="16">
        <f t="shared" si="0"/>
        <v>-4</v>
      </c>
      <c r="D6" s="15">
        <f t="shared" si="1"/>
        <v>75</v>
      </c>
    </row>
    <row r="7" spans="1:10" x14ac:dyDescent="0.25">
      <c r="A7" s="16">
        <v>149</v>
      </c>
      <c r="B7" s="15">
        <v>3627</v>
      </c>
      <c r="C7" s="16">
        <f t="shared" si="0"/>
        <v>-5</v>
      </c>
      <c r="D7" s="15">
        <f t="shared" si="1"/>
        <v>94</v>
      </c>
    </row>
    <row r="8" spans="1:10" x14ac:dyDescent="0.25">
      <c r="A8" s="16">
        <v>150</v>
      </c>
      <c r="B8" s="15">
        <v>3646</v>
      </c>
      <c r="C8" s="16">
        <f t="shared" si="0"/>
        <v>-4</v>
      </c>
      <c r="D8" s="15">
        <f t="shared" si="1"/>
        <v>113</v>
      </c>
    </row>
    <row r="9" spans="1:10" x14ac:dyDescent="0.25">
      <c r="A9" s="16">
        <v>152</v>
      </c>
      <c r="B9" s="15">
        <v>3664</v>
      </c>
      <c r="C9" s="16">
        <f t="shared" si="0"/>
        <v>-2</v>
      </c>
      <c r="D9" s="15">
        <f t="shared" si="1"/>
        <v>131</v>
      </c>
    </row>
    <row r="10" spans="1:10" x14ac:dyDescent="0.25">
      <c r="A10" s="16">
        <v>154</v>
      </c>
      <c r="B10" s="15">
        <v>3683</v>
      </c>
      <c r="C10" s="16">
        <f t="shared" si="0"/>
        <v>0</v>
      </c>
      <c r="D10" s="15">
        <f t="shared" si="1"/>
        <v>150</v>
      </c>
    </row>
    <row r="11" spans="1:10" x14ac:dyDescent="0.25">
      <c r="A11" s="16">
        <v>156</v>
      </c>
      <c r="B11" s="15">
        <v>3702</v>
      </c>
      <c r="C11" s="16">
        <f t="shared" si="0"/>
        <v>2</v>
      </c>
      <c r="D11" s="15">
        <f t="shared" si="1"/>
        <v>169</v>
      </c>
    </row>
    <row r="12" spans="1:10" x14ac:dyDescent="0.25">
      <c r="A12" s="16">
        <v>158</v>
      </c>
      <c r="B12" s="15">
        <v>3721</v>
      </c>
      <c r="C12" s="16">
        <f t="shared" si="0"/>
        <v>4</v>
      </c>
      <c r="D12" s="15">
        <f t="shared" si="1"/>
        <v>188</v>
      </c>
    </row>
    <row r="13" spans="1:10" x14ac:dyDescent="0.25">
      <c r="A13" s="16">
        <v>162</v>
      </c>
      <c r="B13" s="15">
        <v>3739</v>
      </c>
      <c r="C13" s="16">
        <f t="shared" si="0"/>
        <v>8</v>
      </c>
      <c r="D13" s="15">
        <f t="shared" si="1"/>
        <v>206</v>
      </c>
    </row>
    <row r="14" spans="1:10" x14ac:dyDescent="0.25">
      <c r="A14" s="16">
        <v>164</v>
      </c>
      <c r="B14" s="15">
        <v>3758</v>
      </c>
      <c r="C14" s="16">
        <f t="shared" si="0"/>
        <v>10</v>
      </c>
      <c r="D14" s="15">
        <f t="shared" si="1"/>
        <v>225</v>
      </c>
    </row>
    <row r="15" spans="1:10" x14ac:dyDescent="0.25">
      <c r="A15" s="16">
        <v>166</v>
      </c>
      <c r="B15" s="15">
        <v>3777</v>
      </c>
      <c r="C15" s="16">
        <f t="shared" si="0"/>
        <v>12</v>
      </c>
      <c r="D15" s="15">
        <f t="shared" si="1"/>
        <v>244</v>
      </c>
    </row>
    <row r="16" spans="1:10" x14ac:dyDescent="0.25">
      <c r="A16" s="16">
        <v>168</v>
      </c>
      <c r="B16" s="15">
        <v>3795</v>
      </c>
      <c r="C16" s="16">
        <f t="shared" si="0"/>
        <v>14</v>
      </c>
      <c r="D16" s="15">
        <f t="shared" si="1"/>
        <v>262</v>
      </c>
    </row>
    <row r="17" spans="1:4" x14ac:dyDescent="0.25">
      <c r="A17" s="16">
        <v>170</v>
      </c>
      <c r="B17" s="15">
        <v>3814</v>
      </c>
      <c r="C17" s="16">
        <f t="shared" si="0"/>
        <v>16</v>
      </c>
      <c r="D17" s="15">
        <f t="shared" si="1"/>
        <v>281</v>
      </c>
    </row>
    <row r="18" spans="1:4" x14ac:dyDescent="0.25">
      <c r="A18" s="16">
        <v>172</v>
      </c>
      <c r="B18" s="15">
        <v>3833</v>
      </c>
      <c r="C18" s="16">
        <f t="shared" si="0"/>
        <v>18</v>
      </c>
      <c r="D18" s="15">
        <f t="shared" si="1"/>
        <v>300</v>
      </c>
    </row>
    <row r="19" spans="1:4" x14ac:dyDescent="0.25">
      <c r="A19" s="16">
        <v>174</v>
      </c>
      <c r="B19" s="15">
        <v>3852</v>
      </c>
      <c r="C19" s="16">
        <f t="shared" si="0"/>
        <v>20</v>
      </c>
      <c r="D19" s="15">
        <f t="shared" si="1"/>
        <v>319</v>
      </c>
    </row>
    <row r="20" spans="1:4" x14ac:dyDescent="0.25">
      <c r="A20" s="16">
        <v>176</v>
      </c>
      <c r="B20" s="15">
        <v>3870</v>
      </c>
      <c r="C20" s="16">
        <f t="shared" si="0"/>
        <v>22</v>
      </c>
      <c r="D20" s="15">
        <f t="shared" si="1"/>
        <v>337</v>
      </c>
    </row>
    <row r="21" spans="1:4" x14ac:dyDescent="0.25">
      <c r="A21" s="16">
        <v>178</v>
      </c>
      <c r="B21" s="15">
        <v>3889</v>
      </c>
      <c r="C21" s="16">
        <f t="shared" si="0"/>
        <v>24</v>
      </c>
      <c r="D21" s="15">
        <f t="shared" si="1"/>
        <v>356</v>
      </c>
    </row>
    <row r="22" spans="1:4" x14ac:dyDescent="0.25">
      <c r="A22" s="16">
        <v>180</v>
      </c>
      <c r="B22" s="15">
        <v>3908</v>
      </c>
      <c r="C22" s="16">
        <f t="shared" si="0"/>
        <v>26</v>
      </c>
      <c r="D22" s="15">
        <f t="shared" si="1"/>
        <v>375</v>
      </c>
    </row>
    <row r="23" spans="1:4" x14ac:dyDescent="0.25">
      <c r="A23" s="16">
        <v>182</v>
      </c>
      <c r="B23" s="15">
        <v>3927</v>
      </c>
      <c r="C23" s="16">
        <f t="shared" si="0"/>
        <v>28</v>
      </c>
      <c r="D23" s="15">
        <f t="shared" si="1"/>
        <v>394</v>
      </c>
    </row>
    <row r="24" spans="1:4" x14ac:dyDescent="0.25">
      <c r="A24" s="16">
        <v>182</v>
      </c>
      <c r="B24" s="15">
        <v>3945</v>
      </c>
      <c r="C24" s="16">
        <f t="shared" si="0"/>
        <v>28</v>
      </c>
      <c r="D24" s="15">
        <f t="shared" si="1"/>
        <v>412</v>
      </c>
    </row>
    <row r="25" spans="1:4" x14ac:dyDescent="0.25">
      <c r="A25" s="16">
        <v>182</v>
      </c>
      <c r="B25" s="15">
        <v>3964</v>
      </c>
      <c r="C25" s="16">
        <f t="shared" si="0"/>
        <v>28</v>
      </c>
      <c r="D25" s="15">
        <f t="shared" si="1"/>
        <v>431</v>
      </c>
    </row>
    <row r="26" spans="1:4" x14ac:dyDescent="0.25">
      <c r="A26" s="16">
        <v>181</v>
      </c>
      <c r="B26" s="15">
        <v>3983</v>
      </c>
      <c r="C26" s="16">
        <f t="shared" si="0"/>
        <v>27</v>
      </c>
      <c r="D26" s="15">
        <f t="shared" si="1"/>
        <v>450</v>
      </c>
    </row>
    <row r="27" spans="1:4" x14ac:dyDescent="0.25">
      <c r="A27" s="16">
        <v>182</v>
      </c>
      <c r="B27" s="15">
        <v>4001</v>
      </c>
      <c r="C27" s="16">
        <f t="shared" si="0"/>
        <v>28</v>
      </c>
      <c r="D27" s="15">
        <f t="shared" si="1"/>
        <v>468</v>
      </c>
    </row>
    <row r="28" spans="1:4" x14ac:dyDescent="0.25">
      <c r="A28" s="16">
        <v>181</v>
      </c>
      <c r="B28" s="15">
        <v>4020</v>
      </c>
      <c r="C28" s="16">
        <f t="shared" si="0"/>
        <v>27</v>
      </c>
      <c r="D28" s="15">
        <f t="shared" si="1"/>
        <v>487</v>
      </c>
    </row>
    <row r="29" spans="1:4" x14ac:dyDescent="0.25">
      <c r="A29" s="16">
        <v>181</v>
      </c>
      <c r="B29" s="15">
        <v>4039</v>
      </c>
      <c r="C29" s="16">
        <f t="shared" si="0"/>
        <v>27</v>
      </c>
      <c r="D29" s="15">
        <f t="shared" si="1"/>
        <v>506</v>
      </c>
    </row>
    <row r="30" spans="1:4" x14ac:dyDescent="0.25">
      <c r="A30" s="16">
        <v>182</v>
      </c>
      <c r="B30" s="15">
        <v>4058</v>
      </c>
      <c r="C30" s="16">
        <f t="shared" si="0"/>
        <v>28</v>
      </c>
      <c r="D30" s="15">
        <f t="shared" si="1"/>
        <v>525</v>
      </c>
    </row>
    <row r="31" spans="1:4" x14ac:dyDescent="0.25">
      <c r="A31" s="16">
        <v>182</v>
      </c>
      <c r="B31" s="15">
        <v>4076</v>
      </c>
      <c r="C31" s="16">
        <f t="shared" si="0"/>
        <v>28</v>
      </c>
      <c r="D31" s="15">
        <f t="shared" si="1"/>
        <v>543</v>
      </c>
    </row>
    <row r="32" spans="1:4" x14ac:dyDescent="0.25">
      <c r="A32" s="16">
        <v>183</v>
      </c>
      <c r="B32" s="15">
        <v>4096</v>
      </c>
      <c r="C32" s="16">
        <f t="shared" si="0"/>
        <v>29</v>
      </c>
      <c r="D32" s="15">
        <f t="shared" si="1"/>
        <v>563</v>
      </c>
    </row>
    <row r="33" spans="1:4" x14ac:dyDescent="0.25">
      <c r="A33" s="16">
        <v>184</v>
      </c>
      <c r="B33" s="15">
        <v>4114</v>
      </c>
      <c r="C33" s="16">
        <f t="shared" si="0"/>
        <v>30</v>
      </c>
      <c r="D33" s="15">
        <f t="shared" si="1"/>
        <v>581</v>
      </c>
    </row>
    <row r="34" spans="1:4" x14ac:dyDescent="0.25">
      <c r="A34" s="16">
        <v>184</v>
      </c>
      <c r="B34" s="15">
        <v>4132</v>
      </c>
      <c r="C34" s="16">
        <f t="shared" si="0"/>
        <v>30</v>
      </c>
      <c r="D34" s="15">
        <f t="shared" si="1"/>
        <v>599</v>
      </c>
    </row>
    <row r="35" spans="1:4" x14ac:dyDescent="0.25">
      <c r="A35" s="16">
        <v>185</v>
      </c>
      <c r="B35" s="15">
        <v>4151</v>
      </c>
      <c r="C35" s="16">
        <f t="shared" si="0"/>
        <v>31</v>
      </c>
      <c r="D35" s="15">
        <f t="shared" si="1"/>
        <v>618</v>
      </c>
    </row>
    <row r="36" spans="1:4" x14ac:dyDescent="0.25">
      <c r="A36" s="16">
        <v>186</v>
      </c>
      <c r="B36" s="15">
        <v>4170</v>
      </c>
      <c r="C36" s="16">
        <f t="shared" si="0"/>
        <v>32</v>
      </c>
      <c r="D36" s="15">
        <f t="shared" si="1"/>
        <v>637</v>
      </c>
    </row>
    <row r="37" spans="1:4" x14ac:dyDescent="0.25">
      <c r="A37" s="16">
        <v>186</v>
      </c>
      <c r="B37" s="15">
        <v>4189</v>
      </c>
      <c r="C37" s="16">
        <f t="shared" si="0"/>
        <v>32</v>
      </c>
      <c r="D37" s="15">
        <f t="shared" si="1"/>
        <v>656</v>
      </c>
    </row>
    <row r="38" spans="1:4" x14ac:dyDescent="0.25">
      <c r="A38" s="16">
        <v>187</v>
      </c>
      <c r="B38" s="15">
        <v>4207</v>
      </c>
      <c r="C38" s="16">
        <f t="shared" si="0"/>
        <v>33</v>
      </c>
      <c r="D38" s="15">
        <f t="shared" si="1"/>
        <v>674</v>
      </c>
    </row>
    <row r="39" spans="1:4" x14ac:dyDescent="0.25">
      <c r="A39" s="16">
        <v>189</v>
      </c>
      <c r="B39" s="15">
        <v>4226</v>
      </c>
      <c r="C39" s="16">
        <f t="shared" si="0"/>
        <v>35</v>
      </c>
      <c r="D39" s="15">
        <f t="shared" si="1"/>
        <v>693</v>
      </c>
    </row>
    <row r="40" spans="1:4" x14ac:dyDescent="0.25">
      <c r="A40" s="16">
        <v>190</v>
      </c>
      <c r="B40" s="15">
        <v>4245</v>
      </c>
      <c r="C40" s="16">
        <f t="shared" si="0"/>
        <v>36</v>
      </c>
      <c r="D40" s="15">
        <f t="shared" si="1"/>
        <v>712</v>
      </c>
    </row>
    <row r="41" spans="1:4" x14ac:dyDescent="0.25">
      <c r="A41" s="16">
        <v>192</v>
      </c>
      <c r="B41" s="15">
        <v>4263</v>
      </c>
      <c r="C41" s="16">
        <f t="shared" si="0"/>
        <v>38</v>
      </c>
      <c r="D41" s="15">
        <f t="shared" si="1"/>
        <v>730</v>
      </c>
    </row>
    <row r="42" spans="1:4" x14ac:dyDescent="0.25">
      <c r="A42" s="16">
        <v>194</v>
      </c>
      <c r="B42" s="15">
        <v>4282</v>
      </c>
      <c r="C42" s="16">
        <f t="shared" si="0"/>
        <v>40</v>
      </c>
      <c r="D42" s="15">
        <f t="shared" si="1"/>
        <v>749</v>
      </c>
    </row>
    <row r="43" spans="1:4" x14ac:dyDescent="0.25">
      <c r="A43" s="16">
        <v>196</v>
      </c>
      <c r="B43" s="15">
        <v>4301</v>
      </c>
      <c r="C43" s="16">
        <f t="shared" si="0"/>
        <v>42</v>
      </c>
      <c r="D43" s="15">
        <f t="shared" si="1"/>
        <v>768</v>
      </c>
    </row>
    <row r="44" spans="1:4" x14ac:dyDescent="0.25">
      <c r="A44" s="16">
        <v>198</v>
      </c>
      <c r="B44" s="15">
        <v>4320</v>
      </c>
      <c r="C44" s="16">
        <f t="shared" si="0"/>
        <v>44</v>
      </c>
      <c r="D44" s="15">
        <f t="shared" si="1"/>
        <v>787</v>
      </c>
    </row>
    <row r="45" spans="1:4" x14ac:dyDescent="0.25">
      <c r="A45" s="16">
        <v>200</v>
      </c>
      <c r="B45" s="15">
        <v>4338</v>
      </c>
      <c r="C45" s="16">
        <f t="shared" si="0"/>
        <v>46</v>
      </c>
      <c r="D45" s="15">
        <f t="shared" si="1"/>
        <v>805</v>
      </c>
    </row>
    <row r="46" spans="1:4" x14ac:dyDescent="0.25">
      <c r="A46" s="16">
        <v>202</v>
      </c>
      <c r="B46" s="15">
        <v>4357</v>
      </c>
      <c r="C46" s="16">
        <f t="shared" si="0"/>
        <v>48</v>
      </c>
      <c r="D46" s="15">
        <f t="shared" si="1"/>
        <v>824</v>
      </c>
    </row>
    <row r="47" spans="1:4" x14ac:dyDescent="0.25">
      <c r="A47" s="16">
        <v>204</v>
      </c>
      <c r="B47" s="15">
        <v>4376</v>
      </c>
      <c r="C47" s="16">
        <f t="shared" si="0"/>
        <v>50</v>
      </c>
      <c r="D47" s="15">
        <f t="shared" si="1"/>
        <v>843</v>
      </c>
    </row>
    <row r="48" spans="1:4" x14ac:dyDescent="0.25">
      <c r="A48" s="16">
        <v>206</v>
      </c>
      <c r="B48" s="15">
        <v>4395</v>
      </c>
      <c r="C48" s="16">
        <f t="shared" si="0"/>
        <v>52</v>
      </c>
      <c r="D48" s="15">
        <f t="shared" si="1"/>
        <v>862</v>
      </c>
    </row>
    <row r="49" spans="1:11" x14ac:dyDescent="0.25">
      <c r="A49" s="16">
        <v>209</v>
      </c>
      <c r="B49" s="15">
        <v>4413</v>
      </c>
      <c r="C49" s="16">
        <f t="shared" si="0"/>
        <v>55</v>
      </c>
      <c r="D49" s="15">
        <f t="shared" si="1"/>
        <v>880</v>
      </c>
    </row>
    <row r="50" spans="1:11" x14ac:dyDescent="0.25">
      <c r="A50" s="16">
        <v>212</v>
      </c>
      <c r="B50" s="15">
        <v>4432</v>
      </c>
      <c r="C50" s="16">
        <f t="shared" si="0"/>
        <v>58</v>
      </c>
      <c r="D50" s="15">
        <f t="shared" si="1"/>
        <v>899</v>
      </c>
    </row>
    <row r="51" spans="1:11" x14ac:dyDescent="0.25">
      <c r="A51" s="16">
        <v>215</v>
      </c>
      <c r="B51" s="15">
        <v>4451</v>
      </c>
      <c r="C51" s="16">
        <f t="shared" si="0"/>
        <v>61</v>
      </c>
      <c r="D51" s="15">
        <f t="shared" si="1"/>
        <v>918</v>
      </c>
    </row>
    <row r="52" spans="1:11" x14ac:dyDescent="0.25">
      <c r="A52" s="16">
        <v>218</v>
      </c>
      <c r="B52" s="15">
        <v>4469</v>
      </c>
      <c r="C52" s="16">
        <f t="shared" si="0"/>
        <v>64</v>
      </c>
      <c r="D52" s="15">
        <f t="shared" si="1"/>
        <v>936</v>
      </c>
    </row>
    <row r="53" spans="1:11" x14ac:dyDescent="0.25">
      <c r="A53" s="16">
        <v>221</v>
      </c>
      <c r="B53" s="15">
        <v>4488</v>
      </c>
      <c r="C53" s="16">
        <f t="shared" si="0"/>
        <v>67</v>
      </c>
      <c r="D53" s="15">
        <f t="shared" si="1"/>
        <v>955</v>
      </c>
    </row>
    <row r="54" spans="1:11" x14ac:dyDescent="0.25">
      <c r="A54" s="16">
        <v>225</v>
      </c>
      <c r="B54" s="15">
        <v>4507</v>
      </c>
      <c r="C54" s="16">
        <f t="shared" si="0"/>
        <v>71</v>
      </c>
      <c r="D54" s="15">
        <f t="shared" si="1"/>
        <v>974</v>
      </c>
    </row>
    <row r="55" spans="1:11" x14ac:dyDescent="0.25">
      <c r="A55" s="16">
        <v>228</v>
      </c>
      <c r="B55" s="15">
        <v>4526</v>
      </c>
      <c r="C55" s="16">
        <f t="shared" si="0"/>
        <v>74</v>
      </c>
      <c r="D55" s="15">
        <f t="shared" si="1"/>
        <v>993</v>
      </c>
    </row>
    <row r="56" spans="1:11" x14ac:dyDescent="0.25">
      <c r="A56" s="16">
        <v>232</v>
      </c>
      <c r="B56" s="15">
        <v>4544</v>
      </c>
      <c r="C56" s="16">
        <f t="shared" ref="C56:C62" si="2">A56-154</f>
        <v>78</v>
      </c>
      <c r="D56" s="15">
        <f t="shared" si="1"/>
        <v>1011</v>
      </c>
    </row>
    <row r="57" spans="1:11" x14ac:dyDescent="0.25">
      <c r="A57" s="16">
        <v>236</v>
      </c>
      <c r="B57" s="15">
        <v>4563</v>
      </c>
      <c r="C57" s="16">
        <f t="shared" si="2"/>
        <v>82</v>
      </c>
      <c r="D57" s="15">
        <f t="shared" si="1"/>
        <v>1030</v>
      </c>
      <c r="F57" s="16" t="s">
        <v>9</v>
      </c>
      <c r="G57" s="1" t="s">
        <v>10</v>
      </c>
      <c r="H57" s="1" t="s">
        <v>11</v>
      </c>
      <c r="I57" s="1" t="s">
        <v>12</v>
      </c>
      <c r="J57" s="1" t="s">
        <v>13</v>
      </c>
      <c r="K57" s="1" t="s">
        <v>14</v>
      </c>
    </row>
    <row r="58" spans="1:11" x14ac:dyDescent="0.25">
      <c r="A58" s="16">
        <v>240</v>
      </c>
      <c r="B58" s="15">
        <v>4582</v>
      </c>
      <c r="C58" s="16">
        <f t="shared" si="2"/>
        <v>86</v>
      </c>
      <c r="D58" s="15">
        <f t="shared" si="1"/>
        <v>1049</v>
      </c>
      <c r="F58" s="15">
        <f>D61</f>
        <v>1105</v>
      </c>
      <c r="G58" s="12">
        <f>C61</f>
        <v>97</v>
      </c>
      <c r="H58" s="12">
        <f>D62</f>
        <v>1124</v>
      </c>
      <c r="I58" s="12">
        <f>C62</f>
        <v>101</v>
      </c>
      <c r="J58" s="1">
        <v>7.8814749290000004</v>
      </c>
      <c r="K58">
        <f>RADIANS(((G58-I58)/(F58-H58))*1000)</f>
        <v>3.6743773726196407</v>
      </c>
    </row>
    <row r="59" spans="1:11" x14ac:dyDescent="0.25">
      <c r="A59" s="16">
        <v>244</v>
      </c>
      <c r="B59" s="15">
        <v>4600</v>
      </c>
      <c r="C59" s="16">
        <f t="shared" si="2"/>
        <v>90</v>
      </c>
      <c r="D59" s="15">
        <f t="shared" si="1"/>
        <v>1067</v>
      </c>
      <c r="F59" s="16" t="s">
        <v>15</v>
      </c>
      <c r="G59" s="1">
        <f>(I58-G58)/(H58-F58)</f>
        <v>0.21052631578947367</v>
      </c>
      <c r="H59" s="1" t="s">
        <v>16</v>
      </c>
      <c r="I59" s="1">
        <f>I58-G59*H58</f>
        <v>-135.63157894736841</v>
      </c>
    </row>
    <row r="60" spans="1:11" x14ac:dyDescent="0.25">
      <c r="A60" s="16">
        <v>247</v>
      </c>
      <c r="B60" s="15">
        <v>4619</v>
      </c>
      <c r="C60" s="16">
        <f t="shared" si="2"/>
        <v>93</v>
      </c>
      <c r="D60" s="15">
        <f t="shared" si="1"/>
        <v>1086</v>
      </c>
      <c r="F60" s="16" t="s">
        <v>17</v>
      </c>
      <c r="G60" s="1">
        <f>J58/K58</f>
        <v>2.1449824364068837</v>
      </c>
      <c r="H60" s="1" t="s">
        <v>18</v>
      </c>
      <c r="I60" s="1">
        <f>-I59/G59</f>
        <v>644.25</v>
      </c>
    </row>
    <row r="61" spans="1:11" x14ac:dyDescent="0.25">
      <c r="A61" s="16">
        <v>251</v>
      </c>
      <c r="B61" s="15">
        <v>4638</v>
      </c>
      <c r="C61" s="16">
        <f t="shared" si="2"/>
        <v>97</v>
      </c>
      <c r="D61" s="15">
        <f t="shared" si="1"/>
        <v>1105</v>
      </c>
    </row>
    <row r="62" spans="1:11" x14ac:dyDescent="0.25">
      <c r="A62" s="16">
        <v>255</v>
      </c>
      <c r="B62" s="15">
        <v>4657</v>
      </c>
      <c r="C62" s="16">
        <f t="shared" si="2"/>
        <v>101</v>
      </c>
      <c r="D62" s="15">
        <f t="shared" si="1"/>
        <v>1124</v>
      </c>
    </row>
    <row r="98" spans="3:3" x14ac:dyDescent="0.25">
      <c r="C98" s="24"/>
    </row>
    <row r="140" spans="3:10" x14ac:dyDescent="0.25">
      <c r="H140" s="25"/>
      <c r="I140" s="25"/>
      <c r="J140" s="25"/>
    </row>
    <row r="142" spans="3:10" x14ac:dyDescent="0.25">
      <c r="C142" s="24"/>
      <c r="D142" s="14"/>
    </row>
    <row r="186" spans="3:3" x14ac:dyDescent="0.25">
      <c r="C186" s="24"/>
    </row>
    <row r="319" spans="3:3" x14ac:dyDescent="0.25">
      <c r="C319" s="24"/>
    </row>
    <row r="407" spans="5:5" x14ac:dyDescent="0.25">
      <c r="E407" s="24"/>
    </row>
    <row r="451" spans="3:3" x14ac:dyDescent="0.25">
      <c r="C451" s="24"/>
    </row>
    <row r="495" spans="3:3" x14ac:dyDescent="0.25">
      <c r="C495" s="24"/>
    </row>
    <row r="539" spans="3:3" x14ac:dyDescent="0.25">
      <c r="C539" s="24"/>
    </row>
    <row r="627" spans="5:5" x14ac:dyDescent="0.25">
      <c r="E627" s="24"/>
    </row>
    <row r="671" spans="3:3" x14ac:dyDescent="0.25">
      <c r="C671" s="24"/>
    </row>
    <row r="715" spans="3:3" x14ac:dyDescent="0.25">
      <c r="C715" s="24"/>
    </row>
    <row r="759" spans="3:3" x14ac:dyDescent="0.25">
      <c r="C759" s="24"/>
    </row>
    <row r="803" spans="3:3" x14ac:dyDescent="0.25">
      <c r="C803" s="24"/>
    </row>
    <row r="847" spans="3:3" x14ac:dyDescent="0.25">
      <c r="C847" s="24"/>
    </row>
    <row r="891" spans="3:3" x14ac:dyDescent="0.25">
      <c r="C891" s="24"/>
    </row>
    <row r="935" spans="3:3" x14ac:dyDescent="0.25">
      <c r="C935" s="24"/>
    </row>
    <row r="979" spans="3:3" x14ac:dyDescent="0.25">
      <c r="C979" s="24"/>
    </row>
    <row r="1023" spans="3:3" x14ac:dyDescent="0.25">
      <c r="C1023" s="24"/>
    </row>
    <row r="1239" spans="3:3" x14ac:dyDescent="0.25">
      <c r="C1239" s="24"/>
    </row>
    <row r="1283" spans="3:3" x14ac:dyDescent="0.25">
      <c r="C1283" s="24"/>
    </row>
    <row r="1327" spans="3:3" x14ac:dyDescent="0.25">
      <c r="C1327" s="24"/>
    </row>
    <row r="1460" spans="3:3" x14ac:dyDescent="0.25">
      <c r="C1460" s="24"/>
    </row>
    <row r="1504" spans="3:3" x14ac:dyDescent="0.25">
      <c r="C1504" s="24"/>
    </row>
    <row r="1548" spans="3:3" x14ac:dyDescent="0.25">
      <c r="C1548" s="24"/>
    </row>
    <row r="1592" spans="3:3" x14ac:dyDescent="0.25">
      <c r="C1592" s="24"/>
    </row>
    <row r="1636" spans="3:3" x14ac:dyDescent="0.25">
      <c r="C1636" s="24"/>
    </row>
    <row r="1680" spans="3:3" x14ac:dyDescent="0.25">
      <c r="C1680" s="24"/>
    </row>
    <row r="1724" spans="3:3" x14ac:dyDescent="0.25">
      <c r="C1724" s="24"/>
    </row>
    <row r="1768" spans="3:3" x14ac:dyDescent="0.25">
      <c r="C1768" s="24"/>
    </row>
    <row r="1812" spans="3:3" x14ac:dyDescent="0.25">
      <c r="C1812" s="24"/>
    </row>
    <row r="1856" spans="3:3" x14ac:dyDescent="0.25">
      <c r="C1856" s="24"/>
    </row>
    <row r="1900" spans="3:3" x14ac:dyDescent="0.25">
      <c r="C1900" s="24"/>
    </row>
  </sheetData>
  <mergeCells count="1">
    <mergeCell ref="H140:J140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8"/>
      <c r="E4" s="23"/>
    </row>
    <row r="5" spans="1:5" ht="13.5" thickBot="1" x14ac:dyDescent="0.35">
      <c r="A5" s="8"/>
      <c r="B5" s="9"/>
    </row>
    <row r="6" spans="1:5" ht="13" x14ac:dyDescent="0.3">
      <c r="A6" s="19"/>
      <c r="B6" s="20"/>
    </row>
    <row r="7" spans="1:5" ht="13.5" thickBot="1" x14ac:dyDescent="0.35">
      <c r="A7" s="21"/>
      <c r="B7" s="22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2024-08-27T02:20:51Z</dcterms:modified>
</cp:coreProperties>
</file>