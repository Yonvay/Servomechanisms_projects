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van\Desktop\SERVO\M1\"/>
    </mc:Choice>
  </mc:AlternateContent>
  <xr:revisionPtr revIDLastSave="0" documentId="13_ncr:1_{290094D1-6A11-430E-9818-8AC3AE66C5E8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7" i="1" l="1"/>
  <c r="K27" i="1"/>
  <c r="J27" i="1"/>
  <c r="I27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N27" i="1" l="1"/>
  <c r="J29" i="1" s="1"/>
  <c r="J28" i="1"/>
  <c r="L28" i="1" s="1"/>
  <c r="L29" i="1" s="1"/>
</calcChain>
</file>

<file path=xl/sharedStrings.xml><?xml version="1.0" encoding="utf-8"?>
<sst xmlns="http://schemas.openxmlformats.org/spreadsheetml/2006/main" count="52" uniqueCount="23">
  <si>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</si>
  <si>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</si>
  <si>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</si>
  <si>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</si>
  <si>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</si>
  <si>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</si>
  <si>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</si>
  <si>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Hora</t>
  </si>
  <si>
    <t>Theta_1</t>
  </si>
  <si>
    <t>t</t>
  </si>
  <si>
    <t>ANGLE</t>
  </si>
  <si>
    <t>Angle</t>
  </si>
  <si>
    <t>Time</t>
  </si>
  <si>
    <t>x1</t>
  </si>
  <si>
    <t>y1</t>
  </si>
  <si>
    <t>x2</t>
  </si>
  <si>
    <t>y2</t>
  </si>
  <si>
    <t>Vrms</t>
  </si>
  <si>
    <t>W(rad/s)</t>
  </si>
  <si>
    <t>m</t>
  </si>
  <si>
    <t>b</t>
  </si>
  <si>
    <t>Km</t>
  </si>
  <si>
    <t>Tm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</si>
</sst>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CEAB639-99AB-4CE1-8CCA-794AE0DC11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Data'!$G$1</c:f>
              <c:strCache>
                <c:ptCount val="1"/>
                <c:pt idx="0">
                  <c:v>Time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Data'!$G$2:$G$30</c:f>
              <c:numCache>
                <c:formatCode>General</c:formatCode>
                <c:ptCount val="29"/>
                <c:pt idx="0">
                  <c:v>0</c:v>
                </c:pt>
                <c:pt idx="1">
                  <c:v>29</c:v>
                </c:pt>
                <c:pt idx="2">
                  <c:v>60</c:v>
                </c:pt>
                <c:pt idx="3">
                  <c:v>90</c:v>
                </c:pt>
                <c:pt idx="4">
                  <c:v>121</c:v>
                </c:pt>
                <c:pt idx="5">
                  <c:v>150</c:v>
                </c:pt>
                <c:pt idx="6">
                  <c:v>181</c:v>
                </c:pt>
                <c:pt idx="7">
                  <c:v>211</c:v>
                </c:pt>
                <c:pt idx="8">
                  <c:v>241</c:v>
                </c:pt>
                <c:pt idx="9">
                  <c:v>271</c:v>
                </c:pt>
                <c:pt idx="10">
                  <c:v>301</c:v>
                </c:pt>
                <c:pt idx="11">
                  <c:v>332</c:v>
                </c:pt>
                <c:pt idx="12">
                  <c:v>361</c:v>
                </c:pt>
                <c:pt idx="13">
                  <c:v>392</c:v>
                </c:pt>
                <c:pt idx="14">
                  <c:v>422</c:v>
                </c:pt>
                <c:pt idx="15">
                  <c:v>452</c:v>
                </c:pt>
                <c:pt idx="16">
                  <c:v>482</c:v>
                </c:pt>
                <c:pt idx="17">
                  <c:v>513</c:v>
                </c:pt>
                <c:pt idx="18">
                  <c:v>543</c:v>
                </c:pt>
                <c:pt idx="19">
                  <c:v>572</c:v>
                </c:pt>
                <c:pt idx="20">
                  <c:v>603</c:v>
                </c:pt>
                <c:pt idx="21">
                  <c:v>633</c:v>
                </c:pt>
                <c:pt idx="22">
                  <c:v>663</c:v>
                </c:pt>
                <c:pt idx="23">
                  <c:v>693</c:v>
                </c:pt>
                <c:pt idx="24">
                  <c:v>724</c:v>
                </c:pt>
                <c:pt idx="25">
                  <c:v>753</c:v>
                </c:pt>
                <c:pt idx="26">
                  <c:v>784</c:v>
                </c:pt>
                <c:pt idx="27">
                  <c:v>814</c:v>
                </c:pt>
                <c:pt idx="28">
                  <c:v>845</c:v>
                </c:pt>
              </c:numCache>
            </c:numRef>
          </c:xVal>
          <c:yVal>
            <c:numRef>
              <c:f>'Simple Data'!$F:$F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-4</c:v>
                </c:pt>
                <c:pt idx="6">
                  <c:v>-5</c:v>
                </c:pt>
                <c:pt idx="7">
                  <c:v>-5</c:v>
                </c:pt>
                <c:pt idx="8">
                  <c:v>-3</c:v>
                </c:pt>
                <c:pt idx="9">
                  <c:v>-1</c:v>
                </c:pt>
                <c:pt idx="10">
                  <c:v>3</c:v>
                </c:pt>
                <c:pt idx="11">
                  <c:v>7</c:v>
                </c:pt>
                <c:pt idx="12">
                  <c:v>11</c:v>
                </c:pt>
                <c:pt idx="13">
                  <c:v>14</c:v>
                </c:pt>
                <c:pt idx="14">
                  <c:v>17</c:v>
                </c:pt>
                <c:pt idx="15">
                  <c:v>21</c:v>
                </c:pt>
                <c:pt idx="16">
                  <c:v>24</c:v>
                </c:pt>
                <c:pt idx="17">
                  <c:v>28</c:v>
                </c:pt>
                <c:pt idx="18">
                  <c:v>33</c:v>
                </c:pt>
                <c:pt idx="19">
                  <c:v>36</c:v>
                </c:pt>
                <c:pt idx="20">
                  <c:v>40</c:v>
                </c:pt>
                <c:pt idx="21">
                  <c:v>44</c:v>
                </c:pt>
                <c:pt idx="22">
                  <c:v>49</c:v>
                </c:pt>
                <c:pt idx="23">
                  <c:v>53</c:v>
                </c:pt>
                <c:pt idx="24">
                  <c:v>58</c:v>
                </c:pt>
                <c:pt idx="25">
                  <c:v>64</c:v>
                </c:pt>
                <c:pt idx="26">
                  <c:v>69</c:v>
                </c:pt>
                <c:pt idx="27">
                  <c:v>74</c:v>
                </c:pt>
                <c:pt idx="28">
                  <c:v>81</c:v>
                </c:pt>
                <c:pt idx="29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2B-4963-814F-CA563C9FA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905712"/>
        <c:axId val="426902832"/>
      </c:scatterChart>
      <c:valAx>
        <c:axId val="426905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6902832"/>
        <c:crosses val="autoZero"/>
        <c:crossBetween val="midCat"/>
      </c:valAx>
      <c:valAx>
        <c:axId val="42690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6905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701675</xdr:colOff>
      <xdr:row>0</xdr:row>
      <xdr:rowOff>285750</xdr:rowOff>
    </xdr:from>
    <xdr:to>
      <xdr:col>15</xdr:col>
      <xdr:colOff>9525</xdr:colOff>
      <xdr:row>17</xdr:row>
      <xdr:rowOff>6350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75AF90-5351-9530-C3D5-21D056CF49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13"/>
  <sheetViews>
    <sheetView tabSelected="1" topLeftCell="A22" workbookViewId="0">
      <selection activeCell="G33" sqref="G33"/>
    </sheetView>
  </sheetViews>
  <sheetFormatPr baseColWidth="10" defaultColWidth="9.1796875" defaultRowHeight="12.5" x14ac:dyDescent="0.25"/>
  <cols>
    <col min="1" max="1" width="18.81640625" style="14" customWidth="1"/>
    <col min="2" max="2" width="15" style="15" customWidth="1"/>
    <col min="3" max="3" width="9" style="16" customWidth="1"/>
    <col min="4" max="4" width="9.1796875" style="16"/>
    <col min="5" max="5" width="10.26953125" style="16" bestFit="1" customWidth="1"/>
    <col min="6" max="6" width="9.1796875" style="16"/>
    <col min="7" max="7" width="9.1796875" style="1"/>
    <col min="8" max="8" width="15.26953125" style="1" bestFit="1" customWidth="1"/>
    <col min="9" max="9" width="6.36328125" style="1" bestFit="1" customWidth="1"/>
    <col min="10" max="10" width="9.1796875" style="1"/>
  </cols>
  <sheetData>
    <row r="1" spans="1:10" s="17" customFormat="1" ht="38.25" customHeight="1" x14ac:dyDescent="0.3">
      <c r="A1" s="13" t="s">
        <v>7</v>
      </c>
      <c r="B1" s="11" t="s">
        <v>8</v>
      </c>
      <c r="C1" s="2" t="s">
        <v>9</v>
      </c>
      <c r="D1" s="2"/>
      <c r="E1" s="2"/>
      <c r="F1" s="2" t="s">
        <v>11</v>
      </c>
      <c r="G1" s="2" t="s">
        <v>12</v>
      </c>
      <c r="H1" s="2"/>
      <c r="I1" s="2"/>
      <c r="J1" s="2"/>
    </row>
    <row r="2" spans="1:10" x14ac:dyDescent="0.25">
      <c r="A2" s="14">
        <v>0.16413194444444446</v>
      </c>
      <c r="B2" s="15" t="s">
        <v>10</v>
      </c>
      <c r="C2" s="16">
        <v>155</v>
      </c>
      <c r="D2" s="16">
        <v>5516</v>
      </c>
      <c r="F2" s="16">
        <f t="shared" ref="F2:F30" si="0">C2-155</f>
        <v>0</v>
      </c>
      <c r="G2" s="1">
        <f>D2-5516</f>
        <v>0</v>
      </c>
    </row>
    <row r="3" spans="1:10" x14ac:dyDescent="0.25">
      <c r="A3" s="14">
        <v>0.16413194444444446</v>
      </c>
      <c r="B3" s="15" t="s">
        <v>10</v>
      </c>
      <c r="C3" s="16">
        <v>154</v>
      </c>
      <c r="D3" s="16">
        <v>5545</v>
      </c>
      <c r="F3" s="16">
        <f t="shared" si="0"/>
        <v>-1</v>
      </c>
      <c r="G3" s="1">
        <f t="shared" ref="G3:G30" si="1">D3-5516</f>
        <v>29</v>
      </c>
    </row>
    <row r="4" spans="1:10" x14ac:dyDescent="0.25">
      <c r="A4" s="14">
        <v>0.16413194444444446</v>
      </c>
      <c r="B4" s="15" t="s">
        <v>10</v>
      </c>
      <c r="C4" s="16">
        <v>154</v>
      </c>
      <c r="D4" s="16">
        <v>5576</v>
      </c>
      <c r="F4" s="16">
        <f t="shared" si="0"/>
        <v>-1</v>
      </c>
      <c r="G4" s="1">
        <f t="shared" si="1"/>
        <v>60</v>
      </c>
    </row>
    <row r="5" spans="1:10" x14ac:dyDescent="0.25">
      <c r="A5" s="14">
        <v>0.16413194444444446</v>
      </c>
      <c r="B5" s="15" t="s">
        <v>10</v>
      </c>
      <c r="C5" s="16">
        <v>154</v>
      </c>
      <c r="D5" s="16">
        <v>5606</v>
      </c>
      <c r="F5" s="16">
        <f t="shared" si="0"/>
        <v>-1</v>
      </c>
      <c r="G5" s="1">
        <f t="shared" si="1"/>
        <v>90</v>
      </c>
    </row>
    <row r="6" spans="1:10" x14ac:dyDescent="0.25">
      <c r="A6" s="14">
        <v>0.16413194444444446</v>
      </c>
      <c r="B6" s="15" t="s">
        <v>10</v>
      </c>
      <c r="C6" s="16">
        <v>151</v>
      </c>
      <c r="D6" s="16">
        <v>5637</v>
      </c>
      <c r="F6" s="16">
        <f t="shared" si="0"/>
        <v>-4</v>
      </c>
      <c r="G6" s="1">
        <f t="shared" si="1"/>
        <v>121</v>
      </c>
    </row>
    <row r="7" spans="1:10" x14ac:dyDescent="0.25">
      <c r="A7" s="14">
        <v>0.16413194444444446</v>
      </c>
      <c r="B7" s="15" t="s">
        <v>10</v>
      </c>
      <c r="C7" s="16">
        <v>150</v>
      </c>
      <c r="D7" s="16">
        <v>5666</v>
      </c>
      <c r="F7" s="16">
        <f t="shared" si="0"/>
        <v>-5</v>
      </c>
      <c r="G7" s="1">
        <f t="shared" si="1"/>
        <v>150</v>
      </c>
    </row>
    <row r="8" spans="1:10" x14ac:dyDescent="0.25">
      <c r="A8" s="14">
        <v>0.16413194444444446</v>
      </c>
      <c r="B8" s="15" t="s">
        <v>10</v>
      </c>
      <c r="C8" s="16">
        <v>150</v>
      </c>
      <c r="D8" s="16">
        <v>5697</v>
      </c>
      <c r="F8" s="16">
        <f t="shared" si="0"/>
        <v>-5</v>
      </c>
      <c r="G8" s="1">
        <f t="shared" si="1"/>
        <v>181</v>
      </c>
    </row>
    <row r="9" spans="1:10" x14ac:dyDescent="0.25">
      <c r="A9" s="14">
        <v>0.16413194444444446</v>
      </c>
      <c r="B9" s="15" t="s">
        <v>10</v>
      </c>
      <c r="C9" s="16">
        <v>152</v>
      </c>
      <c r="D9" s="16">
        <v>5727</v>
      </c>
      <c r="F9" s="16">
        <f t="shared" si="0"/>
        <v>-3</v>
      </c>
      <c r="G9" s="1">
        <f t="shared" si="1"/>
        <v>211</v>
      </c>
    </row>
    <row r="10" spans="1:10" x14ac:dyDescent="0.25">
      <c r="A10" s="14">
        <v>0.16413194444444446</v>
      </c>
      <c r="B10" s="15" t="s">
        <v>10</v>
      </c>
      <c r="C10" s="16">
        <v>154</v>
      </c>
      <c r="D10" s="16">
        <v>5757</v>
      </c>
      <c r="F10" s="16">
        <f t="shared" si="0"/>
        <v>-1</v>
      </c>
      <c r="G10" s="1">
        <f t="shared" si="1"/>
        <v>241</v>
      </c>
    </row>
    <row r="11" spans="1:10" x14ac:dyDescent="0.25">
      <c r="A11" s="14">
        <v>0.16413194444444446</v>
      </c>
      <c r="B11" s="15" t="s">
        <v>10</v>
      </c>
      <c r="C11" s="16">
        <v>158</v>
      </c>
      <c r="D11" s="16">
        <v>5787</v>
      </c>
      <c r="F11" s="16">
        <f t="shared" si="0"/>
        <v>3</v>
      </c>
      <c r="G11" s="1">
        <f t="shared" si="1"/>
        <v>271</v>
      </c>
    </row>
    <row r="12" spans="1:10" x14ac:dyDescent="0.25">
      <c r="A12" s="14">
        <v>0.16413194444444446</v>
      </c>
      <c r="B12" s="15" t="s">
        <v>10</v>
      </c>
      <c r="C12" s="16">
        <v>162</v>
      </c>
      <c r="D12" s="16">
        <v>5817</v>
      </c>
      <c r="F12" s="16">
        <f t="shared" si="0"/>
        <v>7</v>
      </c>
      <c r="G12" s="1">
        <f t="shared" si="1"/>
        <v>301</v>
      </c>
    </row>
    <row r="13" spans="1:10" x14ac:dyDescent="0.25">
      <c r="A13" s="14">
        <v>0.16413194444444446</v>
      </c>
      <c r="B13" s="15" t="s">
        <v>10</v>
      </c>
      <c r="C13" s="16">
        <v>166</v>
      </c>
      <c r="D13" s="16">
        <v>5848</v>
      </c>
      <c r="F13" s="16">
        <f t="shared" si="0"/>
        <v>11</v>
      </c>
      <c r="G13" s="1">
        <f t="shared" si="1"/>
        <v>332</v>
      </c>
    </row>
    <row r="14" spans="1:10" x14ac:dyDescent="0.25">
      <c r="A14" s="14">
        <v>0.16413194444444446</v>
      </c>
      <c r="B14" s="15" t="s">
        <v>10</v>
      </c>
      <c r="C14" s="16">
        <v>169</v>
      </c>
      <c r="D14" s="16">
        <v>5877</v>
      </c>
      <c r="F14" s="16">
        <f t="shared" si="0"/>
        <v>14</v>
      </c>
      <c r="G14" s="1">
        <f t="shared" si="1"/>
        <v>361</v>
      </c>
    </row>
    <row r="15" spans="1:10" x14ac:dyDescent="0.25">
      <c r="A15" s="14">
        <v>0.16414351851851852</v>
      </c>
      <c r="B15" s="15" t="s">
        <v>10</v>
      </c>
      <c r="C15" s="16">
        <v>172</v>
      </c>
      <c r="D15" s="16">
        <v>5908</v>
      </c>
      <c r="F15" s="16">
        <f t="shared" si="0"/>
        <v>17</v>
      </c>
      <c r="G15" s="1">
        <f t="shared" si="1"/>
        <v>392</v>
      </c>
    </row>
    <row r="16" spans="1:10" x14ac:dyDescent="0.25">
      <c r="A16" s="14">
        <v>0.16414351851851852</v>
      </c>
      <c r="B16" s="15" t="s">
        <v>10</v>
      </c>
      <c r="C16" s="16">
        <v>176</v>
      </c>
      <c r="D16" s="16">
        <v>5938</v>
      </c>
      <c r="F16" s="16">
        <f t="shared" si="0"/>
        <v>21</v>
      </c>
      <c r="G16" s="1">
        <f t="shared" si="1"/>
        <v>422</v>
      </c>
    </row>
    <row r="17" spans="1:14" x14ac:dyDescent="0.25">
      <c r="A17" s="14">
        <v>0.16414351851851852</v>
      </c>
      <c r="B17" s="15" t="s">
        <v>10</v>
      </c>
      <c r="C17" s="16">
        <v>179</v>
      </c>
      <c r="D17" s="16">
        <v>5968</v>
      </c>
      <c r="F17" s="16">
        <f t="shared" si="0"/>
        <v>24</v>
      </c>
      <c r="G17" s="1">
        <f t="shared" si="1"/>
        <v>452</v>
      </c>
    </row>
    <row r="18" spans="1:14" x14ac:dyDescent="0.25">
      <c r="A18" s="14">
        <v>0.16414351851851852</v>
      </c>
      <c r="B18" s="15" t="s">
        <v>10</v>
      </c>
      <c r="C18" s="16">
        <v>183</v>
      </c>
      <c r="D18" s="16">
        <v>5998</v>
      </c>
      <c r="F18" s="16">
        <f t="shared" si="0"/>
        <v>28</v>
      </c>
      <c r="G18" s="1">
        <f t="shared" si="1"/>
        <v>482</v>
      </c>
    </row>
    <row r="19" spans="1:14" x14ac:dyDescent="0.25">
      <c r="A19" s="14">
        <v>0.16414351851851852</v>
      </c>
      <c r="B19" s="15" t="s">
        <v>10</v>
      </c>
      <c r="C19" s="16">
        <v>188</v>
      </c>
      <c r="D19" s="16">
        <v>6029</v>
      </c>
      <c r="F19" s="16">
        <f t="shared" si="0"/>
        <v>33</v>
      </c>
      <c r="G19" s="1">
        <f t="shared" si="1"/>
        <v>513</v>
      </c>
    </row>
    <row r="20" spans="1:14" x14ac:dyDescent="0.25">
      <c r="A20" s="14">
        <v>0.16414351851851852</v>
      </c>
      <c r="B20" s="15" t="s">
        <v>10</v>
      </c>
      <c r="C20" s="16">
        <v>191</v>
      </c>
      <c r="D20" s="16">
        <v>6059</v>
      </c>
      <c r="F20" s="16">
        <f t="shared" si="0"/>
        <v>36</v>
      </c>
      <c r="G20" s="1">
        <f t="shared" si="1"/>
        <v>543</v>
      </c>
    </row>
    <row r="21" spans="1:14" x14ac:dyDescent="0.25">
      <c r="A21" s="14">
        <v>0.16414351851851852</v>
      </c>
      <c r="B21" s="15" t="s">
        <v>10</v>
      </c>
      <c r="C21" s="16">
        <v>195</v>
      </c>
      <c r="D21" s="16">
        <v>6088</v>
      </c>
      <c r="F21" s="16">
        <f t="shared" si="0"/>
        <v>40</v>
      </c>
      <c r="G21" s="1">
        <f t="shared" si="1"/>
        <v>572</v>
      </c>
    </row>
    <row r="22" spans="1:14" x14ac:dyDescent="0.25">
      <c r="A22" s="14">
        <v>0.16414351851851852</v>
      </c>
      <c r="B22" s="15" t="s">
        <v>10</v>
      </c>
      <c r="C22" s="16">
        <v>199</v>
      </c>
      <c r="D22" s="16">
        <v>6119</v>
      </c>
      <c r="F22" s="16">
        <f t="shared" si="0"/>
        <v>44</v>
      </c>
      <c r="G22" s="1">
        <f t="shared" si="1"/>
        <v>603</v>
      </c>
    </row>
    <row r="23" spans="1:14" x14ac:dyDescent="0.25">
      <c r="A23" s="14">
        <v>0.16414351851851852</v>
      </c>
      <c r="B23" s="15" t="s">
        <v>10</v>
      </c>
      <c r="C23" s="16">
        <v>204</v>
      </c>
      <c r="D23" s="16">
        <v>6149</v>
      </c>
      <c r="F23" s="16">
        <f t="shared" si="0"/>
        <v>49</v>
      </c>
      <c r="G23" s="1">
        <f t="shared" si="1"/>
        <v>633</v>
      </c>
    </row>
    <row r="24" spans="1:14" x14ac:dyDescent="0.25">
      <c r="A24" s="14">
        <v>0.16414351851851852</v>
      </c>
      <c r="B24" s="15" t="s">
        <v>10</v>
      </c>
      <c r="C24" s="16">
        <v>208</v>
      </c>
      <c r="D24" s="16">
        <v>6179</v>
      </c>
      <c r="F24" s="16">
        <f t="shared" si="0"/>
        <v>53</v>
      </c>
      <c r="G24" s="1">
        <f t="shared" si="1"/>
        <v>663</v>
      </c>
    </row>
    <row r="25" spans="1:14" x14ac:dyDescent="0.25">
      <c r="A25" s="14">
        <v>0.16414351851851852</v>
      </c>
      <c r="B25" s="15" t="s">
        <v>10</v>
      </c>
      <c r="C25" s="16">
        <v>213</v>
      </c>
      <c r="D25" s="16">
        <v>6209</v>
      </c>
      <c r="F25" s="16">
        <f t="shared" si="0"/>
        <v>58</v>
      </c>
      <c r="G25" s="1">
        <f t="shared" si="1"/>
        <v>693</v>
      </c>
    </row>
    <row r="26" spans="1:14" x14ac:dyDescent="0.25">
      <c r="A26" s="14">
        <v>0.16414351851851852</v>
      </c>
      <c r="B26" s="15" t="s">
        <v>10</v>
      </c>
      <c r="C26" s="16">
        <v>219</v>
      </c>
      <c r="D26" s="16">
        <v>6240</v>
      </c>
      <c r="F26" s="16">
        <f t="shared" si="0"/>
        <v>64</v>
      </c>
      <c r="G26" s="1">
        <f t="shared" si="1"/>
        <v>724</v>
      </c>
      <c r="I26" s="16" t="s">
        <v>13</v>
      </c>
      <c r="J26" s="1" t="s">
        <v>14</v>
      </c>
      <c r="K26" s="1" t="s">
        <v>15</v>
      </c>
      <c r="L26" s="1" t="s">
        <v>16</v>
      </c>
      <c r="M26" s="1" t="s">
        <v>17</v>
      </c>
      <c r="N26" s="1" t="s">
        <v>18</v>
      </c>
    </row>
    <row r="27" spans="1:14" x14ac:dyDescent="0.25">
      <c r="A27" s="14">
        <v>0.16414351851851852</v>
      </c>
      <c r="B27" s="15" t="s">
        <v>10</v>
      </c>
      <c r="C27" s="16">
        <v>224</v>
      </c>
      <c r="D27" s="16">
        <v>6269</v>
      </c>
      <c r="F27" s="16">
        <f t="shared" si="0"/>
        <v>69</v>
      </c>
      <c r="G27" s="1">
        <f t="shared" si="1"/>
        <v>753</v>
      </c>
      <c r="I27" s="15">
        <f>G29</f>
        <v>814</v>
      </c>
      <c r="J27" s="12">
        <f>F29</f>
        <v>81</v>
      </c>
      <c r="K27" s="12">
        <f>G30</f>
        <v>845</v>
      </c>
      <c r="L27" s="12">
        <f>F30</f>
        <v>87</v>
      </c>
      <c r="M27" s="1">
        <v>7.8814749290000004</v>
      </c>
      <c r="N27">
        <f>RADIANS(((J27-L27)/(I27-K27))*1000)</f>
        <v>3.3780566167632182</v>
      </c>
    </row>
    <row r="28" spans="1:14" x14ac:dyDescent="0.25">
      <c r="A28" s="14">
        <v>0.16414351851851852</v>
      </c>
      <c r="B28" s="15" t="s">
        <v>10</v>
      </c>
      <c r="C28" s="16">
        <v>229</v>
      </c>
      <c r="D28" s="16">
        <v>6300</v>
      </c>
      <c r="F28" s="16">
        <f t="shared" si="0"/>
        <v>74</v>
      </c>
      <c r="G28" s="1">
        <f t="shared" si="1"/>
        <v>784</v>
      </c>
      <c r="I28" s="16" t="s">
        <v>19</v>
      </c>
      <c r="J28" s="1">
        <f>(L27-J27)/(K27-I27)</f>
        <v>0.19354838709677419</v>
      </c>
      <c r="K28" s="1" t="s">
        <v>20</v>
      </c>
      <c r="L28" s="1">
        <f>L27-J28*K27</f>
        <v>-76.548387096774178</v>
      </c>
      <c r="M28" s="1"/>
    </row>
    <row r="29" spans="1:14" x14ac:dyDescent="0.25">
      <c r="A29" s="14">
        <v>0.16414351851851852</v>
      </c>
      <c r="B29" s="15" t="s">
        <v>10</v>
      </c>
      <c r="C29" s="16">
        <v>236</v>
      </c>
      <c r="D29" s="16">
        <v>6330</v>
      </c>
      <c r="F29" s="16">
        <f t="shared" si="0"/>
        <v>81</v>
      </c>
      <c r="G29" s="1">
        <f t="shared" si="1"/>
        <v>814</v>
      </c>
      <c r="I29" s="16" t="s">
        <v>21</v>
      </c>
      <c r="J29" s="1">
        <f>M27/N27</f>
        <v>2.3331387904776628</v>
      </c>
      <c r="K29" s="1" t="s">
        <v>22</v>
      </c>
      <c r="L29" s="1">
        <f>-L28/J28</f>
        <v>395.49999999999994</v>
      </c>
      <c r="M29" s="1"/>
    </row>
    <row r="30" spans="1:14" x14ac:dyDescent="0.25">
      <c r="A30" s="14">
        <v>0.16414351851851852</v>
      </c>
      <c r="B30" s="15" t="s">
        <v>10</v>
      </c>
      <c r="C30" s="16">
        <v>242</v>
      </c>
      <c r="D30" s="16">
        <v>6361</v>
      </c>
      <c r="F30" s="16">
        <f t="shared" si="0"/>
        <v>87</v>
      </c>
      <c r="G30" s="1">
        <f t="shared" si="1"/>
        <v>845</v>
      </c>
    </row>
    <row r="79" spans="3:3" x14ac:dyDescent="0.25">
      <c r="C79" s="24"/>
    </row>
    <row r="211" spans="3:3" x14ac:dyDescent="0.25">
      <c r="C211" s="24"/>
    </row>
    <row r="253" spans="3:10" x14ac:dyDescent="0.25">
      <c r="H253" s="25"/>
      <c r="I253" s="25"/>
      <c r="J253" s="25"/>
    </row>
    <row r="255" spans="3:10" x14ac:dyDescent="0.25">
      <c r="C255" s="24"/>
      <c r="D255" s="14"/>
    </row>
    <row r="299" spans="3:3" x14ac:dyDescent="0.25">
      <c r="C299" s="24"/>
    </row>
    <row r="432" spans="3:3" x14ac:dyDescent="0.25">
      <c r="C432" s="24"/>
    </row>
    <row r="520" spans="5:5" x14ac:dyDescent="0.25">
      <c r="E520" s="24"/>
    </row>
    <row r="564" spans="3:3" x14ac:dyDescent="0.25">
      <c r="C564" s="24"/>
    </row>
    <row r="608" spans="3:3" x14ac:dyDescent="0.25">
      <c r="C608" s="24"/>
    </row>
    <row r="652" spans="3:3" x14ac:dyDescent="0.25">
      <c r="C652" s="24"/>
    </row>
    <row r="740" spans="5:5" x14ac:dyDescent="0.25">
      <c r="E740" s="24"/>
    </row>
    <row r="784" spans="3:3" x14ac:dyDescent="0.25">
      <c r="C784" s="24"/>
    </row>
    <row r="828" spans="3:3" x14ac:dyDescent="0.25">
      <c r="C828" s="24"/>
    </row>
    <row r="872" spans="3:3" x14ac:dyDescent="0.25">
      <c r="C872" s="24"/>
    </row>
    <row r="916" spans="3:3" x14ac:dyDescent="0.25">
      <c r="C916" s="24"/>
    </row>
    <row r="960" spans="3:3" x14ac:dyDescent="0.25">
      <c r="C960" s="24"/>
    </row>
    <row r="1004" spans="3:3" x14ac:dyDescent="0.25">
      <c r="C1004" s="24"/>
    </row>
    <row r="1048" spans="3:3" x14ac:dyDescent="0.25">
      <c r="C1048" s="24"/>
    </row>
    <row r="1092" spans="3:3" x14ac:dyDescent="0.25">
      <c r="C1092" s="24"/>
    </row>
    <row r="1136" spans="3:3" x14ac:dyDescent="0.25">
      <c r="C1136" s="24"/>
    </row>
    <row r="1352" spans="3:3" x14ac:dyDescent="0.25">
      <c r="C1352" s="24"/>
    </row>
    <row r="1396" spans="3:3" x14ac:dyDescent="0.25">
      <c r="C1396" s="24"/>
    </row>
    <row r="1440" spans="3:3" x14ac:dyDescent="0.25">
      <c r="C1440" s="24"/>
    </row>
    <row r="1573" spans="3:3" x14ac:dyDescent="0.25">
      <c r="C1573" s="24"/>
    </row>
    <row r="1617" spans="3:3" x14ac:dyDescent="0.25">
      <c r="C1617" s="24"/>
    </row>
    <row r="1661" spans="3:3" x14ac:dyDescent="0.25">
      <c r="C1661" s="24"/>
    </row>
    <row r="1705" spans="3:3" x14ac:dyDescent="0.25">
      <c r="C1705" s="24"/>
    </row>
    <row r="1749" spans="3:3" x14ac:dyDescent="0.25">
      <c r="C1749" s="24"/>
    </row>
    <row r="1793" spans="3:3" x14ac:dyDescent="0.25">
      <c r="C1793" s="24"/>
    </row>
    <row r="1837" spans="3:3" x14ac:dyDescent="0.25">
      <c r="C1837" s="24"/>
    </row>
    <row r="1881" spans="3:3" x14ac:dyDescent="0.25">
      <c r="C1881" s="24"/>
    </row>
    <row r="1925" spans="3:3" x14ac:dyDescent="0.25">
      <c r="C1925" s="24"/>
    </row>
    <row r="1969" spans="3:3" x14ac:dyDescent="0.25">
      <c r="C1969" s="24"/>
    </row>
    <row r="2013" spans="3:3" x14ac:dyDescent="0.25">
      <c r="C2013" s="24"/>
    </row>
  </sheetData>
  <mergeCells count="1">
    <mergeCell ref="H253:J253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J5" sqref="J5"/>
    </sheetView>
  </sheetViews>
  <sheetFormatPr baseColWidth="10" defaultColWidth="9.1796875" defaultRowHeight="12.5" x14ac:dyDescent="0.25"/>
  <cols>
    <col min="1" max="1" width="18.26953125" style="5" customWidth="1"/>
    <col min="2" max="2" width="8.453125" style="12" customWidth="1"/>
    <col min="3" max="3" width="9.26953125" style="1" customWidth="1"/>
    <col min="4" max="4" width="6.81640625" style="1" customWidth="1"/>
    <col min="5" max="5" width="2.7265625" style="1" customWidth="1"/>
    <col min="6" max="6" width="2.1796875" style="1" customWidth="1"/>
    <col min="7" max="7" width="2.54296875" style="1" customWidth="1"/>
    <col min="8" max="8" width="2.26953125" style="1" customWidth="1"/>
    <col min="9" max="9" width="2.453125" style="1" customWidth="1"/>
    <col min="10" max="10" width="2" style="1" customWidth="1"/>
    <col min="11" max="11" width="18.7265625" customWidth="1"/>
  </cols>
  <sheetData>
    <row r="1" spans="1:11" s="3" customFormat="1" ht="45.75" customHeight="1" x14ac:dyDescent="0.3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796875" defaultRowHeight="12.5" x14ac:dyDescent="0.25"/>
  <cols>
    <col min="1" max="1" width="22.453125" customWidth="1"/>
    <col min="5" max="5" width="26.453125" customWidth="1"/>
  </cols>
  <sheetData>
    <row r="1" spans="1:5" ht="42" customHeight="1" x14ac:dyDescent="0.3">
      <c r="A1" s="13" t="s">
        <v>1</v>
      </c>
      <c r="E1" s="4" t="s">
        <v>0</v>
      </c>
    </row>
    <row r="3" spans="1:5" ht="13" thickBot="1" x14ac:dyDescent="0.3"/>
    <row r="4" spans="1:5" ht="13.5" thickBot="1" x14ac:dyDescent="0.35">
      <c r="A4" s="7"/>
      <c r="B4" s="10"/>
      <c r="C4" s="18"/>
      <c r="E4" s="23"/>
    </row>
    <row r="5" spans="1:5" ht="13.5" thickBot="1" x14ac:dyDescent="0.35">
      <c r="A5" s="8"/>
      <c r="B5" s="9"/>
    </row>
    <row r="6" spans="1:5" ht="13" x14ac:dyDescent="0.3">
      <c r="A6" s="19"/>
      <c r="B6" s="20"/>
    </row>
    <row r="7" spans="1:5" ht="13.5" thickBot="1" x14ac:dyDescent="0.35">
      <c r="A7" s="21"/>
      <c r="B7" s="22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Yovany Vargas</cp:lastModifiedBy>
  <dcterms:created xsi:type="dcterms:W3CDTF">2002-07-12T16:49:39Z</dcterms:created>
  <dcterms:modified xsi:type="dcterms:W3CDTF">2024-08-27T02:24:21Z</dcterms:modified>
</cp:coreProperties>
</file>