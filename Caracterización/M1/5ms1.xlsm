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van\Desktop\SERVO\M1\"/>
    </mc:Choice>
  </mc:AlternateContent>
  <xr:revisionPtr revIDLastSave="0" documentId="13_ncr:1_{7A1866B4-E4A7-4501-8CDC-EA20747D70F2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5" i="1" l="1"/>
  <c r="H45" i="1"/>
  <c r="G45" i="1"/>
  <c r="F45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2" i="1"/>
  <c r="G46" i="1" l="1"/>
  <c r="K45" i="1"/>
  <c r="G47" i="1" s="1"/>
  <c r="I46" i="1"/>
  <c r="I47" i="1" s="1"/>
</calcChain>
</file>

<file path=xl/sharedStrings.xml><?xml version="1.0" encoding="utf-8"?>
<sst xmlns="http://schemas.openxmlformats.org/spreadsheetml/2006/main" count="22" uniqueCount="19">
  <si>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</si>
  <si>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</si>
  <si>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</si>
  <si>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</si>
  <si>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</si>
  <si>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</si>
  <si>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</si>
  <si>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Theta_1</t>
  </si>
  <si>
    <t>t</t>
  </si>
  <si>
    <t>x1</t>
  </si>
  <si>
    <t>y1</t>
  </si>
  <si>
    <t>x2</t>
  </si>
  <si>
    <t>y2</t>
  </si>
  <si>
    <t>Vrms</t>
  </si>
  <si>
    <t>W(rad/s)</t>
  </si>
  <si>
    <t>m</t>
  </si>
  <si>
    <t>b</t>
  </si>
  <si>
    <t>Km</t>
  </si>
  <si>
    <t>Tm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</si>
</sst>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CEAB639-99AB-4CE1-8CCA-794AE0DC111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Data'!$D$2:$D$49</c:f>
              <c:numCache>
                <c:formatCode>0.00</c:formatCode>
                <c:ptCount val="48"/>
                <c:pt idx="0">
                  <c:v>0</c:v>
                </c:pt>
                <c:pt idx="1">
                  <c:v>16</c:v>
                </c:pt>
                <c:pt idx="2">
                  <c:v>35</c:v>
                </c:pt>
                <c:pt idx="3">
                  <c:v>52</c:v>
                </c:pt>
                <c:pt idx="4">
                  <c:v>69</c:v>
                </c:pt>
                <c:pt idx="5">
                  <c:v>88</c:v>
                </c:pt>
                <c:pt idx="6">
                  <c:v>105</c:v>
                </c:pt>
                <c:pt idx="7">
                  <c:v>124</c:v>
                </c:pt>
                <c:pt idx="8">
                  <c:v>142</c:v>
                </c:pt>
                <c:pt idx="9">
                  <c:v>162</c:v>
                </c:pt>
                <c:pt idx="10">
                  <c:v>180</c:v>
                </c:pt>
                <c:pt idx="11">
                  <c:v>198</c:v>
                </c:pt>
                <c:pt idx="12">
                  <c:v>217</c:v>
                </c:pt>
                <c:pt idx="13">
                  <c:v>236</c:v>
                </c:pt>
                <c:pt idx="14">
                  <c:v>255</c:v>
                </c:pt>
                <c:pt idx="15">
                  <c:v>273</c:v>
                </c:pt>
                <c:pt idx="16">
                  <c:v>293</c:v>
                </c:pt>
                <c:pt idx="17">
                  <c:v>311</c:v>
                </c:pt>
                <c:pt idx="18">
                  <c:v>329</c:v>
                </c:pt>
                <c:pt idx="19">
                  <c:v>348</c:v>
                </c:pt>
                <c:pt idx="20">
                  <c:v>367</c:v>
                </c:pt>
                <c:pt idx="21">
                  <c:v>386</c:v>
                </c:pt>
                <c:pt idx="22">
                  <c:v>404</c:v>
                </c:pt>
                <c:pt idx="23">
                  <c:v>424</c:v>
                </c:pt>
                <c:pt idx="24">
                  <c:v>442</c:v>
                </c:pt>
                <c:pt idx="25">
                  <c:v>461</c:v>
                </c:pt>
                <c:pt idx="26">
                  <c:v>479</c:v>
                </c:pt>
                <c:pt idx="27">
                  <c:v>498</c:v>
                </c:pt>
                <c:pt idx="28">
                  <c:v>517</c:v>
                </c:pt>
                <c:pt idx="29">
                  <c:v>535</c:v>
                </c:pt>
                <c:pt idx="30">
                  <c:v>555</c:v>
                </c:pt>
                <c:pt idx="31">
                  <c:v>573</c:v>
                </c:pt>
                <c:pt idx="32">
                  <c:v>592</c:v>
                </c:pt>
                <c:pt idx="33">
                  <c:v>610</c:v>
                </c:pt>
                <c:pt idx="34">
                  <c:v>629</c:v>
                </c:pt>
                <c:pt idx="35">
                  <c:v>648</c:v>
                </c:pt>
                <c:pt idx="36">
                  <c:v>666</c:v>
                </c:pt>
                <c:pt idx="37">
                  <c:v>686</c:v>
                </c:pt>
                <c:pt idx="38">
                  <c:v>704</c:v>
                </c:pt>
                <c:pt idx="39">
                  <c:v>723</c:v>
                </c:pt>
                <c:pt idx="40">
                  <c:v>741</c:v>
                </c:pt>
                <c:pt idx="41">
                  <c:v>761</c:v>
                </c:pt>
                <c:pt idx="42">
                  <c:v>779</c:v>
                </c:pt>
                <c:pt idx="43">
                  <c:v>797</c:v>
                </c:pt>
                <c:pt idx="44">
                  <c:v>816</c:v>
                </c:pt>
                <c:pt idx="45">
                  <c:v>835</c:v>
                </c:pt>
                <c:pt idx="46">
                  <c:v>854</c:v>
                </c:pt>
              </c:numCache>
            </c:numRef>
          </c:xVal>
          <c:yVal>
            <c:numRef>
              <c:f>'Simple Data'!$C$2:$C$48</c:f>
              <c:numCache>
                <c:formatCode>0.00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8</c:v>
                </c:pt>
                <c:pt idx="6">
                  <c:v>10</c:v>
                </c:pt>
                <c:pt idx="7">
                  <c:v>12</c:v>
                </c:pt>
                <c:pt idx="8">
                  <c:v>14</c:v>
                </c:pt>
                <c:pt idx="9">
                  <c:v>16</c:v>
                </c:pt>
                <c:pt idx="10">
                  <c:v>17</c:v>
                </c:pt>
                <c:pt idx="11">
                  <c:v>19</c:v>
                </c:pt>
                <c:pt idx="12">
                  <c:v>20</c:v>
                </c:pt>
                <c:pt idx="13">
                  <c:v>22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28</c:v>
                </c:pt>
                <c:pt idx="18">
                  <c:v>30</c:v>
                </c:pt>
                <c:pt idx="19">
                  <c:v>32</c:v>
                </c:pt>
                <c:pt idx="20">
                  <c:v>34</c:v>
                </c:pt>
                <c:pt idx="21">
                  <c:v>35</c:v>
                </c:pt>
                <c:pt idx="22">
                  <c:v>37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45</c:v>
                </c:pt>
                <c:pt idx="27">
                  <c:v>47</c:v>
                </c:pt>
                <c:pt idx="28">
                  <c:v>50</c:v>
                </c:pt>
                <c:pt idx="29">
                  <c:v>52</c:v>
                </c:pt>
                <c:pt idx="30">
                  <c:v>54</c:v>
                </c:pt>
                <c:pt idx="31">
                  <c:v>57</c:v>
                </c:pt>
                <c:pt idx="32">
                  <c:v>59</c:v>
                </c:pt>
                <c:pt idx="33">
                  <c:v>62</c:v>
                </c:pt>
                <c:pt idx="34">
                  <c:v>65</c:v>
                </c:pt>
                <c:pt idx="35">
                  <c:v>68</c:v>
                </c:pt>
                <c:pt idx="36">
                  <c:v>71</c:v>
                </c:pt>
                <c:pt idx="37">
                  <c:v>74</c:v>
                </c:pt>
                <c:pt idx="38">
                  <c:v>77</c:v>
                </c:pt>
                <c:pt idx="39">
                  <c:v>81</c:v>
                </c:pt>
                <c:pt idx="40">
                  <c:v>84</c:v>
                </c:pt>
                <c:pt idx="41">
                  <c:v>86</c:v>
                </c:pt>
                <c:pt idx="42">
                  <c:v>89</c:v>
                </c:pt>
                <c:pt idx="43">
                  <c:v>92</c:v>
                </c:pt>
                <c:pt idx="44">
                  <c:v>94</c:v>
                </c:pt>
                <c:pt idx="45">
                  <c:v>97</c:v>
                </c:pt>
                <c:pt idx="46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DF-4C8F-AC97-E2B9FA20F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900848"/>
        <c:axId val="1188905648"/>
      </c:scatterChart>
      <c:valAx>
        <c:axId val="1188900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88905648"/>
        <c:crosses val="autoZero"/>
        <c:crossBetween val="midCat"/>
      </c:valAx>
      <c:valAx>
        <c:axId val="118890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8890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530225</xdr:colOff>
      <xdr:row>0</xdr:row>
      <xdr:rowOff>254000</xdr:rowOff>
    </xdr:from>
    <xdr:to>
      <xdr:col>11</xdr:col>
      <xdr:colOff>403225</xdr:colOff>
      <xdr:row>16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BC83FB-6189-C01A-D7C1-F0E57B7349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77"/>
  <sheetViews>
    <sheetView tabSelected="1" topLeftCell="A39" workbookViewId="0">
      <selection activeCell="F44" sqref="F44:K47"/>
    </sheetView>
  </sheetViews>
  <sheetFormatPr baseColWidth="10" defaultColWidth="9.1796875" defaultRowHeight="12.5" x14ac:dyDescent="0.25"/>
  <cols>
    <col min="1" max="1" width="18.81640625" style="15" customWidth="1"/>
    <col min="2" max="3" width="15" style="14" customWidth="1"/>
    <col min="4" max="4" width="9.1796875" style="15"/>
    <col min="5" max="5" width="10.26953125" style="15" bestFit="1" customWidth="1"/>
    <col min="6" max="6" width="9.1796875" style="15"/>
    <col min="7" max="7" width="9.1796875" style="1"/>
    <col min="8" max="8" width="15.26953125" style="1" bestFit="1" customWidth="1"/>
    <col min="9" max="9" width="6.36328125" style="1" bestFit="1" customWidth="1"/>
    <col min="10" max="10" width="9.1796875" style="1"/>
  </cols>
  <sheetData>
    <row r="1" spans="1:10" s="16" customFormat="1" ht="38.25" customHeight="1" x14ac:dyDescent="0.3">
      <c r="A1" s="2" t="s">
        <v>7</v>
      </c>
      <c r="B1" s="11" t="s">
        <v>8</v>
      </c>
      <c r="C1" s="2" t="s">
        <v>7</v>
      </c>
      <c r="D1" s="11" t="s">
        <v>8</v>
      </c>
      <c r="E1" s="2"/>
      <c r="F1" s="2"/>
      <c r="G1" s="2"/>
      <c r="H1" s="2"/>
      <c r="I1" s="2"/>
      <c r="J1" s="2"/>
    </row>
    <row r="2" spans="1:10" x14ac:dyDescent="0.25">
      <c r="A2" s="15">
        <v>0</v>
      </c>
      <c r="B2" s="14">
        <v>4276</v>
      </c>
      <c r="C2" s="14">
        <f>A2*-1</f>
        <v>0</v>
      </c>
      <c r="D2" s="14">
        <f>B2-4276</f>
        <v>0</v>
      </c>
    </row>
    <row r="3" spans="1:10" x14ac:dyDescent="0.25">
      <c r="A3" s="15">
        <v>-1</v>
      </c>
      <c r="B3" s="14">
        <v>4292</v>
      </c>
      <c r="C3" s="14">
        <f t="shared" ref="C3:C48" si="0">A3*-1</f>
        <v>1</v>
      </c>
      <c r="D3" s="14">
        <f t="shared" ref="D3:D48" si="1">B3-4276</f>
        <v>16</v>
      </c>
    </row>
    <row r="4" spans="1:10" x14ac:dyDescent="0.25">
      <c r="A4" s="15">
        <v>-3</v>
      </c>
      <c r="B4" s="14">
        <v>4311</v>
      </c>
      <c r="C4" s="14">
        <f t="shared" si="0"/>
        <v>3</v>
      </c>
      <c r="D4" s="14">
        <f t="shared" si="1"/>
        <v>35</v>
      </c>
    </row>
    <row r="5" spans="1:10" x14ac:dyDescent="0.25">
      <c r="A5" s="15">
        <v>-4</v>
      </c>
      <c r="B5" s="14">
        <v>4328</v>
      </c>
      <c r="C5" s="14">
        <f t="shared" si="0"/>
        <v>4</v>
      </c>
      <c r="D5" s="14">
        <f t="shared" si="1"/>
        <v>52</v>
      </c>
    </row>
    <row r="6" spans="1:10" x14ac:dyDescent="0.25">
      <c r="A6" s="15">
        <v>-6</v>
      </c>
      <c r="B6" s="14">
        <v>4345</v>
      </c>
      <c r="C6" s="14">
        <f t="shared" si="0"/>
        <v>6</v>
      </c>
      <c r="D6" s="14">
        <f t="shared" si="1"/>
        <v>69</v>
      </c>
    </row>
    <row r="7" spans="1:10" x14ac:dyDescent="0.25">
      <c r="A7" s="15">
        <v>-8</v>
      </c>
      <c r="B7" s="14">
        <v>4364</v>
      </c>
      <c r="C7" s="14">
        <f t="shared" si="0"/>
        <v>8</v>
      </c>
      <c r="D7" s="14">
        <f t="shared" si="1"/>
        <v>88</v>
      </c>
    </row>
    <row r="8" spans="1:10" x14ac:dyDescent="0.25">
      <c r="A8" s="15">
        <v>-10</v>
      </c>
      <c r="B8" s="14">
        <v>4381</v>
      </c>
      <c r="C8" s="14">
        <f t="shared" si="0"/>
        <v>10</v>
      </c>
      <c r="D8" s="14">
        <f t="shared" si="1"/>
        <v>105</v>
      </c>
    </row>
    <row r="9" spans="1:10" x14ac:dyDescent="0.25">
      <c r="A9" s="15">
        <v>-12</v>
      </c>
      <c r="B9" s="14">
        <v>4400</v>
      </c>
      <c r="C9" s="14">
        <f t="shared" si="0"/>
        <v>12</v>
      </c>
      <c r="D9" s="14">
        <f t="shared" si="1"/>
        <v>124</v>
      </c>
    </row>
    <row r="10" spans="1:10" x14ac:dyDescent="0.25">
      <c r="A10" s="15">
        <v>-14</v>
      </c>
      <c r="B10" s="14">
        <v>4418</v>
      </c>
      <c r="C10" s="14">
        <f t="shared" si="0"/>
        <v>14</v>
      </c>
      <c r="D10" s="14">
        <f t="shared" si="1"/>
        <v>142</v>
      </c>
    </row>
    <row r="11" spans="1:10" x14ac:dyDescent="0.25">
      <c r="A11" s="15">
        <v>-16</v>
      </c>
      <c r="B11" s="14">
        <v>4438</v>
      </c>
      <c r="C11" s="14">
        <f t="shared" si="0"/>
        <v>16</v>
      </c>
      <c r="D11" s="14">
        <f t="shared" si="1"/>
        <v>162</v>
      </c>
    </row>
    <row r="12" spans="1:10" x14ac:dyDescent="0.25">
      <c r="A12" s="15">
        <v>-17</v>
      </c>
      <c r="B12" s="14">
        <v>4456</v>
      </c>
      <c r="C12" s="14">
        <f t="shared" si="0"/>
        <v>17</v>
      </c>
      <c r="D12" s="14">
        <f t="shared" si="1"/>
        <v>180</v>
      </c>
    </row>
    <row r="13" spans="1:10" x14ac:dyDescent="0.25">
      <c r="A13" s="15">
        <v>-19</v>
      </c>
      <c r="B13" s="14">
        <v>4474</v>
      </c>
      <c r="C13" s="14">
        <f t="shared" si="0"/>
        <v>19</v>
      </c>
      <c r="D13" s="14">
        <f t="shared" si="1"/>
        <v>198</v>
      </c>
    </row>
    <row r="14" spans="1:10" x14ac:dyDescent="0.25">
      <c r="A14" s="15">
        <v>-20</v>
      </c>
      <c r="B14" s="14">
        <v>4493</v>
      </c>
      <c r="C14" s="14">
        <f t="shared" si="0"/>
        <v>20</v>
      </c>
      <c r="D14" s="14">
        <f t="shared" si="1"/>
        <v>217</v>
      </c>
    </row>
    <row r="15" spans="1:10" x14ac:dyDescent="0.25">
      <c r="A15" s="15">
        <v>-22</v>
      </c>
      <c r="B15" s="14">
        <v>4512</v>
      </c>
      <c r="C15" s="14">
        <f t="shared" si="0"/>
        <v>22</v>
      </c>
      <c r="D15" s="14">
        <f t="shared" si="1"/>
        <v>236</v>
      </c>
    </row>
    <row r="16" spans="1:10" x14ac:dyDescent="0.25">
      <c r="A16" s="15">
        <v>-23</v>
      </c>
      <c r="B16" s="14">
        <v>4531</v>
      </c>
      <c r="C16" s="14">
        <f t="shared" si="0"/>
        <v>23</v>
      </c>
      <c r="D16" s="14">
        <f t="shared" si="1"/>
        <v>255</v>
      </c>
    </row>
    <row r="17" spans="1:4" x14ac:dyDescent="0.25">
      <c r="A17" s="15">
        <v>-25</v>
      </c>
      <c r="B17" s="14">
        <v>4549</v>
      </c>
      <c r="C17" s="14">
        <f t="shared" si="0"/>
        <v>25</v>
      </c>
      <c r="D17" s="14">
        <f t="shared" si="1"/>
        <v>273</v>
      </c>
    </row>
    <row r="18" spans="1:4" x14ac:dyDescent="0.25">
      <c r="A18" s="15">
        <v>-27</v>
      </c>
      <c r="B18" s="14">
        <v>4569</v>
      </c>
      <c r="C18" s="14">
        <f t="shared" si="0"/>
        <v>27</v>
      </c>
      <c r="D18" s="14">
        <f t="shared" si="1"/>
        <v>293</v>
      </c>
    </row>
    <row r="19" spans="1:4" x14ac:dyDescent="0.25">
      <c r="A19" s="15">
        <v>-28</v>
      </c>
      <c r="B19" s="14">
        <v>4587</v>
      </c>
      <c r="C19" s="14">
        <f t="shared" si="0"/>
        <v>28</v>
      </c>
      <c r="D19" s="14">
        <f t="shared" si="1"/>
        <v>311</v>
      </c>
    </row>
    <row r="20" spans="1:4" x14ac:dyDescent="0.25">
      <c r="A20" s="15">
        <v>-30</v>
      </c>
      <c r="B20" s="14">
        <v>4605</v>
      </c>
      <c r="C20" s="14">
        <f t="shared" si="0"/>
        <v>30</v>
      </c>
      <c r="D20" s="14">
        <f t="shared" si="1"/>
        <v>329</v>
      </c>
    </row>
    <row r="21" spans="1:4" x14ac:dyDescent="0.25">
      <c r="A21" s="15">
        <v>-32</v>
      </c>
      <c r="B21" s="14">
        <v>4624</v>
      </c>
      <c r="C21" s="14">
        <f t="shared" si="0"/>
        <v>32</v>
      </c>
      <c r="D21" s="14">
        <f t="shared" si="1"/>
        <v>348</v>
      </c>
    </row>
    <row r="22" spans="1:4" x14ac:dyDescent="0.25">
      <c r="A22" s="15">
        <v>-34</v>
      </c>
      <c r="B22" s="14">
        <v>4643</v>
      </c>
      <c r="C22" s="14">
        <f t="shared" si="0"/>
        <v>34</v>
      </c>
      <c r="D22" s="14">
        <f t="shared" si="1"/>
        <v>367</v>
      </c>
    </row>
    <row r="23" spans="1:4" x14ac:dyDescent="0.25">
      <c r="A23" s="15">
        <v>-35</v>
      </c>
      <c r="B23" s="14">
        <v>4662</v>
      </c>
      <c r="C23" s="14">
        <f t="shared" si="0"/>
        <v>35</v>
      </c>
      <c r="D23" s="14">
        <f t="shared" si="1"/>
        <v>386</v>
      </c>
    </row>
    <row r="24" spans="1:4" x14ac:dyDescent="0.25">
      <c r="A24" s="15">
        <v>-37</v>
      </c>
      <c r="B24" s="14">
        <v>4680</v>
      </c>
      <c r="C24" s="14">
        <f t="shared" si="0"/>
        <v>37</v>
      </c>
      <c r="D24" s="14">
        <f t="shared" si="1"/>
        <v>404</v>
      </c>
    </row>
    <row r="25" spans="1:4" x14ac:dyDescent="0.25">
      <c r="A25" s="15">
        <v>-39</v>
      </c>
      <c r="B25" s="14">
        <v>4700</v>
      </c>
      <c r="C25" s="14">
        <f t="shared" si="0"/>
        <v>39</v>
      </c>
      <c r="D25" s="14">
        <f t="shared" si="1"/>
        <v>424</v>
      </c>
    </row>
    <row r="26" spans="1:4" x14ac:dyDescent="0.25">
      <c r="A26" s="15">
        <v>-41</v>
      </c>
      <c r="B26" s="14">
        <v>4718</v>
      </c>
      <c r="C26" s="14">
        <f t="shared" si="0"/>
        <v>41</v>
      </c>
      <c r="D26" s="14">
        <f t="shared" si="1"/>
        <v>442</v>
      </c>
    </row>
    <row r="27" spans="1:4" x14ac:dyDescent="0.25">
      <c r="A27" s="15">
        <v>-43</v>
      </c>
      <c r="B27" s="14">
        <v>4737</v>
      </c>
      <c r="C27" s="14">
        <f t="shared" si="0"/>
        <v>43</v>
      </c>
      <c r="D27" s="14">
        <f t="shared" si="1"/>
        <v>461</v>
      </c>
    </row>
    <row r="28" spans="1:4" x14ac:dyDescent="0.25">
      <c r="A28" s="15">
        <v>-45</v>
      </c>
      <c r="B28" s="14">
        <v>4755</v>
      </c>
      <c r="C28" s="14">
        <f t="shared" si="0"/>
        <v>45</v>
      </c>
      <c r="D28" s="14">
        <f t="shared" si="1"/>
        <v>479</v>
      </c>
    </row>
    <row r="29" spans="1:4" x14ac:dyDescent="0.25">
      <c r="A29" s="15">
        <v>-47</v>
      </c>
      <c r="B29" s="14">
        <v>4774</v>
      </c>
      <c r="C29" s="14">
        <f t="shared" si="0"/>
        <v>47</v>
      </c>
      <c r="D29" s="14">
        <f t="shared" si="1"/>
        <v>498</v>
      </c>
    </row>
    <row r="30" spans="1:4" x14ac:dyDescent="0.25">
      <c r="A30" s="15">
        <v>-50</v>
      </c>
      <c r="B30" s="14">
        <v>4793</v>
      </c>
      <c r="C30" s="14">
        <f t="shared" si="0"/>
        <v>50</v>
      </c>
      <c r="D30" s="14">
        <f t="shared" si="1"/>
        <v>517</v>
      </c>
    </row>
    <row r="31" spans="1:4" x14ac:dyDescent="0.25">
      <c r="A31" s="15">
        <v>-52</v>
      </c>
      <c r="B31" s="14">
        <v>4811</v>
      </c>
      <c r="C31" s="14">
        <f t="shared" si="0"/>
        <v>52</v>
      </c>
      <c r="D31" s="14">
        <f t="shared" si="1"/>
        <v>535</v>
      </c>
    </row>
    <row r="32" spans="1:4" x14ac:dyDescent="0.25">
      <c r="A32" s="15">
        <v>-54</v>
      </c>
      <c r="B32" s="14">
        <v>4831</v>
      </c>
      <c r="C32" s="14">
        <f t="shared" si="0"/>
        <v>54</v>
      </c>
      <c r="D32" s="14">
        <f t="shared" si="1"/>
        <v>555</v>
      </c>
    </row>
    <row r="33" spans="1:11" x14ac:dyDescent="0.25">
      <c r="A33" s="15">
        <v>-57</v>
      </c>
      <c r="B33" s="14">
        <v>4849</v>
      </c>
      <c r="C33" s="14">
        <f t="shared" si="0"/>
        <v>57</v>
      </c>
      <c r="D33" s="14">
        <f t="shared" si="1"/>
        <v>573</v>
      </c>
    </row>
    <row r="34" spans="1:11" x14ac:dyDescent="0.25">
      <c r="A34" s="15">
        <v>-59</v>
      </c>
      <c r="B34" s="14">
        <v>4868</v>
      </c>
      <c r="C34" s="14">
        <f t="shared" si="0"/>
        <v>59</v>
      </c>
      <c r="D34" s="14">
        <f t="shared" si="1"/>
        <v>592</v>
      </c>
    </row>
    <row r="35" spans="1:11" x14ac:dyDescent="0.25">
      <c r="A35" s="15">
        <v>-62</v>
      </c>
      <c r="B35" s="14">
        <v>4886</v>
      </c>
      <c r="C35" s="14">
        <f t="shared" si="0"/>
        <v>62</v>
      </c>
      <c r="D35" s="14">
        <f t="shared" si="1"/>
        <v>610</v>
      </c>
    </row>
    <row r="36" spans="1:11" x14ac:dyDescent="0.25">
      <c r="A36" s="15">
        <v>-65</v>
      </c>
      <c r="B36" s="14">
        <v>4905</v>
      </c>
      <c r="C36" s="14">
        <f t="shared" si="0"/>
        <v>65</v>
      </c>
      <c r="D36" s="14">
        <f t="shared" si="1"/>
        <v>629</v>
      </c>
    </row>
    <row r="37" spans="1:11" x14ac:dyDescent="0.25">
      <c r="A37" s="15">
        <v>-68</v>
      </c>
      <c r="B37" s="14">
        <v>4924</v>
      </c>
      <c r="C37" s="14">
        <f t="shared" si="0"/>
        <v>68</v>
      </c>
      <c r="D37" s="14">
        <f t="shared" si="1"/>
        <v>648</v>
      </c>
    </row>
    <row r="38" spans="1:11" x14ac:dyDescent="0.25">
      <c r="A38" s="15">
        <v>-71</v>
      </c>
      <c r="B38" s="14">
        <v>4942</v>
      </c>
      <c r="C38" s="14">
        <f t="shared" si="0"/>
        <v>71</v>
      </c>
      <c r="D38" s="14">
        <f t="shared" si="1"/>
        <v>666</v>
      </c>
    </row>
    <row r="39" spans="1:11" x14ac:dyDescent="0.25">
      <c r="A39" s="15">
        <v>-74</v>
      </c>
      <c r="B39" s="14">
        <v>4962</v>
      </c>
      <c r="C39" s="14">
        <f t="shared" si="0"/>
        <v>74</v>
      </c>
      <c r="D39" s="14">
        <f t="shared" si="1"/>
        <v>686</v>
      </c>
    </row>
    <row r="40" spans="1:11" x14ac:dyDescent="0.25">
      <c r="A40" s="15">
        <v>-77</v>
      </c>
      <c r="B40" s="14">
        <v>4980</v>
      </c>
      <c r="C40" s="14">
        <f t="shared" si="0"/>
        <v>77</v>
      </c>
      <c r="D40" s="14">
        <f t="shared" si="1"/>
        <v>704</v>
      </c>
    </row>
    <row r="41" spans="1:11" x14ac:dyDescent="0.25">
      <c r="A41" s="15">
        <v>-81</v>
      </c>
      <c r="B41" s="14">
        <v>4999</v>
      </c>
      <c r="C41" s="14">
        <f t="shared" si="0"/>
        <v>81</v>
      </c>
      <c r="D41" s="14">
        <f t="shared" si="1"/>
        <v>723</v>
      </c>
    </row>
    <row r="42" spans="1:11" x14ac:dyDescent="0.25">
      <c r="A42" s="15">
        <v>-84</v>
      </c>
      <c r="B42" s="14">
        <v>5017</v>
      </c>
      <c r="C42" s="14">
        <f t="shared" si="0"/>
        <v>84</v>
      </c>
      <c r="D42" s="14">
        <f t="shared" si="1"/>
        <v>741</v>
      </c>
    </row>
    <row r="43" spans="1:11" x14ac:dyDescent="0.25">
      <c r="A43" s="15">
        <v>-86</v>
      </c>
      <c r="B43" s="14">
        <v>5037</v>
      </c>
      <c r="C43" s="14">
        <f t="shared" si="0"/>
        <v>86</v>
      </c>
      <c r="D43" s="14">
        <f t="shared" si="1"/>
        <v>761</v>
      </c>
    </row>
    <row r="44" spans="1:11" x14ac:dyDescent="0.25">
      <c r="A44" s="15">
        <v>-89</v>
      </c>
      <c r="B44" s="14">
        <v>5055</v>
      </c>
      <c r="C44" s="14">
        <f t="shared" si="0"/>
        <v>89</v>
      </c>
      <c r="D44" s="14">
        <f t="shared" si="1"/>
        <v>779</v>
      </c>
      <c r="F44" s="15" t="s">
        <v>9</v>
      </c>
      <c r="G44" s="1" t="s">
        <v>10</v>
      </c>
      <c r="H44" s="1" t="s">
        <v>11</v>
      </c>
      <c r="I44" s="1" t="s">
        <v>12</v>
      </c>
      <c r="J44" s="1" t="s">
        <v>13</v>
      </c>
      <c r="K44" s="1" t="s">
        <v>14</v>
      </c>
    </row>
    <row r="45" spans="1:11" x14ac:dyDescent="0.25">
      <c r="A45" s="15">
        <v>-92</v>
      </c>
      <c r="B45" s="14">
        <v>5073</v>
      </c>
      <c r="C45" s="14">
        <f t="shared" si="0"/>
        <v>92</v>
      </c>
      <c r="D45" s="14">
        <f t="shared" si="1"/>
        <v>797</v>
      </c>
      <c r="F45" s="14">
        <f>D47</f>
        <v>835</v>
      </c>
      <c r="G45" s="12">
        <f>C47</f>
        <v>97</v>
      </c>
      <c r="H45" s="12">
        <f>D48</f>
        <v>854</v>
      </c>
      <c r="I45" s="12">
        <f>C48</f>
        <v>100</v>
      </c>
      <c r="J45" s="1">
        <v>7.8814749290000004</v>
      </c>
      <c r="K45">
        <f>RADIANS(((G45-I45)/(F45-H45))*1000)</f>
        <v>2.7557830294647307</v>
      </c>
    </row>
    <row r="46" spans="1:11" x14ac:dyDescent="0.25">
      <c r="A46" s="15">
        <v>-94</v>
      </c>
      <c r="B46" s="14">
        <v>5092</v>
      </c>
      <c r="C46" s="14">
        <f t="shared" si="0"/>
        <v>94</v>
      </c>
      <c r="D46" s="14">
        <f t="shared" si="1"/>
        <v>816</v>
      </c>
      <c r="F46" s="15" t="s">
        <v>15</v>
      </c>
      <c r="G46" s="1">
        <f>(I45-G45)/(H45-F45)</f>
        <v>0.15789473684210525</v>
      </c>
      <c r="H46" s="1" t="s">
        <v>16</v>
      </c>
      <c r="I46" s="1">
        <f>I45-G46*H45</f>
        <v>-34.84210526315789</v>
      </c>
    </row>
    <row r="47" spans="1:11" x14ac:dyDescent="0.25">
      <c r="A47" s="15">
        <v>-97</v>
      </c>
      <c r="B47" s="14">
        <v>5111</v>
      </c>
      <c r="C47" s="14">
        <f t="shared" si="0"/>
        <v>97</v>
      </c>
      <c r="D47" s="14">
        <f t="shared" si="1"/>
        <v>835</v>
      </c>
      <c r="F47" s="15" t="s">
        <v>17</v>
      </c>
      <c r="G47" s="1">
        <f>J45/K45</f>
        <v>2.8599765818758445</v>
      </c>
      <c r="H47" s="1" t="s">
        <v>18</v>
      </c>
      <c r="I47" s="1">
        <f>-I46/G46</f>
        <v>220.66666666666666</v>
      </c>
    </row>
    <row r="48" spans="1:11" x14ac:dyDescent="0.25">
      <c r="A48" s="15">
        <v>-100</v>
      </c>
      <c r="B48" s="14">
        <v>5130</v>
      </c>
      <c r="C48" s="14">
        <f t="shared" si="0"/>
        <v>100</v>
      </c>
      <c r="D48" s="14">
        <f t="shared" si="1"/>
        <v>854</v>
      </c>
    </row>
    <row r="177" spans="5:5" x14ac:dyDescent="0.25">
      <c r="E177" s="23"/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9.1796875" defaultRowHeight="12.5" x14ac:dyDescent="0.25"/>
  <cols>
    <col min="1" max="1" width="18.26953125" style="5" customWidth="1"/>
    <col min="2" max="2" width="8.453125" style="12" customWidth="1"/>
    <col min="3" max="3" width="9.26953125" style="1" customWidth="1"/>
    <col min="4" max="4" width="6.81640625" style="1" customWidth="1"/>
    <col min="5" max="5" width="2.7265625" style="1" customWidth="1"/>
    <col min="6" max="6" width="2.1796875" style="1" customWidth="1"/>
    <col min="7" max="7" width="2.54296875" style="1" customWidth="1"/>
    <col min="8" max="8" width="2.26953125" style="1" customWidth="1"/>
    <col min="9" max="9" width="2.453125" style="1" customWidth="1"/>
    <col min="10" max="10" width="2" style="1" customWidth="1"/>
    <col min="11" max="11" width="18.7265625" customWidth="1"/>
  </cols>
  <sheetData>
    <row r="1" spans="1:11" s="3" customFormat="1" ht="45.75" customHeight="1" x14ac:dyDescent="0.3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9.1796875" defaultRowHeight="12.5" x14ac:dyDescent="0.25"/>
  <cols>
    <col min="1" max="1" width="22.453125" customWidth="1"/>
    <col min="5" max="5" width="26.453125" customWidth="1"/>
  </cols>
  <sheetData>
    <row r="1" spans="1:5" ht="42" customHeight="1" x14ac:dyDescent="0.3">
      <c r="A1" s="13" t="s">
        <v>1</v>
      </c>
      <c r="E1" s="4" t="s">
        <v>0</v>
      </c>
    </row>
    <row r="3" spans="1:5" ht="13" thickBot="1" x14ac:dyDescent="0.3"/>
    <row r="4" spans="1:5" ht="13.5" thickBot="1" x14ac:dyDescent="0.35">
      <c r="A4" s="7"/>
      <c r="B4" s="10"/>
      <c r="C4" s="17"/>
      <c r="E4" s="22"/>
    </row>
    <row r="5" spans="1:5" ht="13.5" thickBot="1" x14ac:dyDescent="0.35">
      <c r="A5" s="8"/>
      <c r="B5" s="9"/>
    </row>
    <row r="6" spans="1:5" ht="13" x14ac:dyDescent="0.3">
      <c r="A6" s="18"/>
      <c r="B6" s="19"/>
    </row>
    <row r="7" spans="1:5" ht="13.5" thickBot="1" x14ac:dyDescent="0.35">
      <c r="A7" s="20"/>
      <c r="B7" s="21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Yovany Vargas</cp:lastModifiedBy>
  <dcterms:created xsi:type="dcterms:W3CDTF">2002-07-12T16:49:39Z</dcterms:created>
  <dcterms:modified xsi:type="dcterms:W3CDTF">2024-08-27T02:23:35Z</dcterms:modified>
</cp:coreProperties>
</file>