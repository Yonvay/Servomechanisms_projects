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van\Desktop\SERVO\M2\"/>
    </mc:Choice>
  </mc:AlternateContent>
  <xr:revisionPtr revIDLastSave="0" documentId="13_ncr:1_{82E80A32-B0DC-4CB8-89A7-2C1A5053DBF7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4" i="1" l="1"/>
  <c r="H74" i="1"/>
  <c r="G74" i="1"/>
  <c r="F74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2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G75" i="1" l="1"/>
  <c r="I75" i="1" s="1"/>
  <c r="I76" i="1" s="1"/>
  <c r="K74" i="1"/>
  <c r="G76" i="1" s="1"/>
</calcChain>
</file>

<file path=xl/sharedStrings.xml><?xml version="1.0" encoding="utf-8"?>
<sst xmlns="http://schemas.openxmlformats.org/spreadsheetml/2006/main" count="22" uniqueCount="19">
  <si>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</si>
  <si>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</si>
  <si>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</si>
  <si>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</si>
  <si>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</si>
  <si>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</si>
  <si>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</si>
  <si>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Theta_1</t>
  </si>
  <si>
    <t>t</t>
  </si>
  <si>
    <t>x1</t>
  </si>
  <si>
    <t>y1</t>
  </si>
  <si>
    <t>x2</t>
  </si>
  <si>
    <t>y2</t>
  </si>
  <si>
    <t>Vrms</t>
  </si>
  <si>
    <t>W(rad/s)</t>
  </si>
  <si>
    <t>m</t>
  </si>
  <si>
    <t>b</t>
  </si>
  <si>
    <t>Km</t>
  </si>
  <si>
    <t>Tm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</si>
</sst>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0" fontId="1" fillId="0" borderId="0" xfId="0" applyFont="1" applyAlignment="1">
      <alignment horizontal="left" wrapText="1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2" fontId="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CEAB639-99AB-4CE1-8CCA-794AE0DC111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Data'!$D$2:$D$77</c:f>
              <c:numCache>
                <c:formatCode>0.00</c:formatCode>
                <c:ptCount val="76"/>
                <c:pt idx="0">
                  <c:v>0</c:v>
                </c:pt>
                <c:pt idx="1">
                  <c:v>19</c:v>
                </c:pt>
                <c:pt idx="2">
                  <c:v>37</c:v>
                </c:pt>
                <c:pt idx="3">
                  <c:v>56</c:v>
                </c:pt>
                <c:pt idx="4">
                  <c:v>75</c:v>
                </c:pt>
                <c:pt idx="5">
                  <c:v>94</c:v>
                </c:pt>
                <c:pt idx="6">
                  <c:v>112</c:v>
                </c:pt>
                <c:pt idx="7">
                  <c:v>131</c:v>
                </c:pt>
                <c:pt idx="8">
                  <c:v>150</c:v>
                </c:pt>
                <c:pt idx="9">
                  <c:v>169</c:v>
                </c:pt>
                <c:pt idx="10">
                  <c:v>187</c:v>
                </c:pt>
                <c:pt idx="11">
                  <c:v>205</c:v>
                </c:pt>
                <c:pt idx="12">
                  <c:v>225</c:v>
                </c:pt>
                <c:pt idx="13">
                  <c:v>243</c:v>
                </c:pt>
                <c:pt idx="14">
                  <c:v>262</c:v>
                </c:pt>
                <c:pt idx="15">
                  <c:v>281</c:v>
                </c:pt>
                <c:pt idx="16">
                  <c:v>300</c:v>
                </c:pt>
                <c:pt idx="17">
                  <c:v>318</c:v>
                </c:pt>
                <c:pt idx="18">
                  <c:v>336</c:v>
                </c:pt>
                <c:pt idx="19">
                  <c:v>356</c:v>
                </c:pt>
                <c:pt idx="20">
                  <c:v>374</c:v>
                </c:pt>
                <c:pt idx="21">
                  <c:v>393</c:v>
                </c:pt>
                <c:pt idx="22">
                  <c:v>412</c:v>
                </c:pt>
                <c:pt idx="23">
                  <c:v>431</c:v>
                </c:pt>
                <c:pt idx="24">
                  <c:v>449</c:v>
                </c:pt>
                <c:pt idx="25">
                  <c:v>468</c:v>
                </c:pt>
                <c:pt idx="26">
                  <c:v>487</c:v>
                </c:pt>
                <c:pt idx="27">
                  <c:v>505</c:v>
                </c:pt>
                <c:pt idx="28">
                  <c:v>524</c:v>
                </c:pt>
                <c:pt idx="29">
                  <c:v>543</c:v>
                </c:pt>
                <c:pt idx="30">
                  <c:v>562</c:v>
                </c:pt>
                <c:pt idx="31">
                  <c:v>580</c:v>
                </c:pt>
                <c:pt idx="32">
                  <c:v>599</c:v>
                </c:pt>
                <c:pt idx="33">
                  <c:v>619</c:v>
                </c:pt>
                <c:pt idx="34">
                  <c:v>639</c:v>
                </c:pt>
                <c:pt idx="35">
                  <c:v>658</c:v>
                </c:pt>
                <c:pt idx="36">
                  <c:v>678</c:v>
                </c:pt>
                <c:pt idx="37">
                  <c:v>698</c:v>
                </c:pt>
                <c:pt idx="38">
                  <c:v>717</c:v>
                </c:pt>
                <c:pt idx="39">
                  <c:v>737</c:v>
                </c:pt>
                <c:pt idx="40">
                  <c:v>757</c:v>
                </c:pt>
                <c:pt idx="41">
                  <c:v>777</c:v>
                </c:pt>
                <c:pt idx="42">
                  <c:v>796</c:v>
                </c:pt>
                <c:pt idx="43">
                  <c:v>817</c:v>
                </c:pt>
                <c:pt idx="44">
                  <c:v>836</c:v>
                </c:pt>
                <c:pt idx="45">
                  <c:v>856</c:v>
                </c:pt>
                <c:pt idx="46">
                  <c:v>876</c:v>
                </c:pt>
                <c:pt idx="47">
                  <c:v>896</c:v>
                </c:pt>
                <c:pt idx="48">
                  <c:v>915</c:v>
                </c:pt>
                <c:pt idx="49">
                  <c:v>934</c:v>
                </c:pt>
                <c:pt idx="50">
                  <c:v>955</c:v>
                </c:pt>
                <c:pt idx="51">
                  <c:v>974</c:v>
                </c:pt>
                <c:pt idx="52">
                  <c:v>994</c:v>
                </c:pt>
                <c:pt idx="53">
                  <c:v>1014</c:v>
                </c:pt>
                <c:pt idx="54">
                  <c:v>1034</c:v>
                </c:pt>
                <c:pt idx="55">
                  <c:v>1053</c:v>
                </c:pt>
                <c:pt idx="56">
                  <c:v>1074</c:v>
                </c:pt>
                <c:pt idx="57">
                  <c:v>1093</c:v>
                </c:pt>
                <c:pt idx="58">
                  <c:v>1113</c:v>
                </c:pt>
                <c:pt idx="59">
                  <c:v>1132</c:v>
                </c:pt>
                <c:pt idx="60">
                  <c:v>1153</c:v>
                </c:pt>
                <c:pt idx="61">
                  <c:v>1172</c:v>
                </c:pt>
                <c:pt idx="62">
                  <c:v>1191</c:v>
                </c:pt>
                <c:pt idx="63">
                  <c:v>1212</c:v>
                </c:pt>
                <c:pt idx="64">
                  <c:v>1231</c:v>
                </c:pt>
                <c:pt idx="65">
                  <c:v>1251</c:v>
                </c:pt>
                <c:pt idx="66">
                  <c:v>1270</c:v>
                </c:pt>
                <c:pt idx="67">
                  <c:v>1291</c:v>
                </c:pt>
                <c:pt idx="68">
                  <c:v>1310</c:v>
                </c:pt>
                <c:pt idx="69">
                  <c:v>1330</c:v>
                </c:pt>
                <c:pt idx="70">
                  <c:v>1350</c:v>
                </c:pt>
                <c:pt idx="71">
                  <c:v>1370</c:v>
                </c:pt>
                <c:pt idx="72">
                  <c:v>1389</c:v>
                </c:pt>
                <c:pt idx="73">
                  <c:v>1410</c:v>
                </c:pt>
                <c:pt idx="74">
                  <c:v>1429</c:v>
                </c:pt>
              </c:numCache>
            </c:numRef>
          </c:xVal>
          <c:yVal>
            <c:numRef>
              <c:f>'Simple Data'!$C$2:$C$77</c:f>
              <c:numCache>
                <c:formatCode>0.00</c:formatCode>
                <c:ptCount val="76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11</c:v>
                </c:pt>
                <c:pt idx="5">
                  <c:v>13</c:v>
                </c:pt>
                <c:pt idx="6">
                  <c:v>15</c:v>
                </c:pt>
                <c:pt idx="7">
                  <c:v>18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28</c:v>
                </c:pt>
                <c:pt idx="12">
                  <c:v>30</c:v>
                </c:pt>
                <c:pt idx="13">
                  <c:v>33</c:v>
                </c:pt>
                <c:pt idx="14">
                  <c:v>35</c:v>
                </c:pt>
                <c:pt idx="15">
                  <c:v>38</c:v>
                </c:pt>
                <c:pt idx="16">
                  <c:v>41</c:v>
                </c:pt>
                <c:pt idx="17">
                  <c:v>43</c:v>
                </c:pt>
                <c:pt idx="18">
                  <c:v>46</c:v>
                </c:pt>
                <c:pt idx="19">
                  <c:v>49</c:v>
                </c:pt>
                <c:pt idx="20">
                  <c:v>51</c:v>
                </c:pt>
                <c:pt idx="21">
                  <c:v>54</c:v>
                </c:pt>
                <c:pt idx="22">
                  <c:v>56</c:v>
                </c:pt>
                <c:pt idx="23">
                  <c:v>59</c:v>
                </c:pt>
                <c:pt idx="24">
                  <c:v>52</c:v>
                </c:pt>
                <c:pt idx="25">
                  <c:v>64</c:v>
                </c:pt>
                <c:pt idx="26">
                  <c:v>67</c:v>
                </c:pt>
                <c:pt idx="27">
                  <c:v>59</c:v>
                </c:pt>
                <c:pt idx="28">
                  <c:v>73</c:v>
                </c:pt>
                <c:pt idx="29">
                  <c:v>76</c:v>
                </c:pt>
                <c:pt idx="30">
                  <c:v>78</c:v>
                </c:pt>
                <c:pt idx="31">
                  <c:v>81</c:v>
                </c:pt>
                <c:pt idx="32">
                  <c:v>84</c:v>
                </c:pt>
                <c:pt idx="33">
                  <c:v>88</c:v>
                </c:pt>
                <c:pt idx="34">
                  <c:v>100</c:v>
                </c:pt>
                <c:pt idx="35">
                  <c:v>94</c:v>
                </c:pt>
                <c:pt idx="36">
                  <c:v>97</c:v>
                </c:pt>
                <c:pt idx="37">
                  <c:v>101</c:v>
                </c:pt>
                <c:pt idx="38">
                  <c:v>104</c:v>
                </c:pt>
                <c:pt idx="39">
                  <c:v>107</c:v>
                </c:pt>
                <c:pt idx="40">
                  <c:v>111</c:v>
                </c:pt>
                <c:pt idx="41">
                  <c:v>114</c:v>
                </c:pt>
                <c:pt idx="42">
                  <c:v>117</c:v>
                </c:pt>
                <c:pt idx="43">
                  <c:v>121</c:v>
                </c:pt>
                <c:pt idx="44">
                  <c:v>124</c:v>
                </c:pt>
                <c:pt idx="45">
                  <c:v>128</c:v>
                </c:pt>
                <c:pt idx="46">
                  <c:v>131</c:v>
                </c:pt>
                <c:pt idx="47">
                  <c:v>135</c:v>
                </c:pt>
                <c:pt idx="48">
                  <c:v>142</c:v>
                </c:pt>
                <c:pt idx="49">
                  <c:v>143</c:v>
                </c:pt>
                <c:pt idx="50">
                  <c:v>147</c:v>
                </c:pt>
                <c:pt idx="51">
                  <c:v>151</c:v>
                </c:pt>
                <c:pt idx="52">
                  <c:v>156</c:v>
                </c:pt>
                <c:pt idx="53">
                  <c:v>160</c:v>
                </c:pt>
                <c:pt idx="54">
                  <c:v>165</c:v>
                </c:pt>
                <c:pt idx="55">
                  <c:v>169</c:v>
                </c:pt>
                <c:pt idx="56">
                  <c:v>173</c:v>
                </c:pt>
                <c:pt idx="57">
                  <c:v>175</c:v>
                </c:pt>
                <c:pt idx="58">
                  <c:v>180</c:v>
                </c:pt>
                <c:pt idx="59">
                  <c:v>183</c:v>
                </c:pt>
                <c:pt idx="60">
                  <c:v>187</c:v>
                </c:pt>
                <c:pt idx="61">
                  <c:v>191</c:v>
                </c:pt>
                <c:pt idx="62">
                  <c:v>194</c:v>
                </c:pt>
                <c:pt idx="63">
                  <c:v>198</c:v>
                </c:pt>
                <c:pt idx="64">
                  <c:v>197</c:v>
                </c:pt>
                <c:pt idx="65">
                  <c:v>205</c:v>
                </c:pt>
                <c:pt idx="66">
                  <c:v>209</c:v>
                </c:pt>
                <c:pt idx="67">
                  <c:v>212</c:v>
                </c:pt>
                <c:pt idx="68">
                  <c:v>209</c:v>
                </c:pt>
                <c:pt idx="69">
                  <c:v>220</c:v>
                </c:pt>
                <c:pt idx="70">
                  <c:v>223</c:v>
                </c:pt>
                <c:pt idx="71">
                  <c:v>219</c:v>
                </c:pt>
                <c:pt idx="72">
                  <c:v>231</c:v>
                </c:pt>
                <c:pt idx="73">
                  <c:v>234</c:v>
                </c:pt>
                <c:pt idx="74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A2-4642-9A28-9B028E35A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900848"/>
        <c:axId val="1188905648"/>
      </c:scatterChart>
      <c:valAx>
        <c:axId val="118890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8905648"/>
        <c:crosses val="autoZero"/>
        <c:crossBetween val="midCat"/>
      </c:valAx>
      <c:valAx>
        <c:axId val="118890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890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187325</xdr:colOff>
      <xdr:row>0</xdr:row>
      <xdr:rowOff>393700</xdr:rowOff>
    </xdr:from>
    <xdr:to>
      <xdr:col>12</xdr:col>
      <xdr:colOff>136525</xdr:colOff>
      <xdr:row>18</xdr:row>
      <xdr:rowOff>6350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BC83FB-6189-C01A-D7C1-F0E57B7349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7"/>
  <sheetViews>
    <sheetView tabSelected="1" topLeftCell="A70" workbookViewId="0">
      <selection activeCell="F73" sqref="F73:K76"/>
    </sheetView>
  </sheetViews>
  <sheetFormatPr baseColWidth="10" defaultColWidth="9.1796875" defaultRowHeight="12.5" x14ac:dyDescent="0.25"/>
  <cols>
    <col min="1" max="1" width="18.81640625" style="15" customWidth="1"/>
    <col min="2" max="3" width="15" style="14" customWidth="1"/>
    <col min="4" max="4" width="9.1796875" style="15"/>
    <col min="5" max="5" width="10.26953125" style="15" bestFit="1" customWidth="1"/>
    <col min="6" max="6" width="9.1796875" style="24"/>
    <col min="7" max="7" width="9.1796875" style="25"/>
    <col min="8" max="8" width="15.26953125" style="25" bestFit="1" customWidth="1"/>
    <col min="9" max="9" width="12.453125" style="25" bestFit="1" customWidth="1"/>
    <col min="10" max="11" width="9.1796875" style="25"/>
  </cols>
  <sheetData>
    <row r="1" spans="1:11" s="16" customFormat="1" ht="38.25" customHeight="1" x14ac:dyDescent="0.3">
      <c r="A1" s="2" t="s">
        <v>7</v>
      </c>
      <c r="B1" s="11" t="s">
        <v>8</v>
      </c>
      <c r="C1" s="2" t="s">
        <v>7</v>
      </c>
      <c r="D1" s="11" t="s">
        <v>8</v>
      </c>
      <c r="E1" s="2"/>
      <c r="F1" s="23"/>
      <c r="G1" s="23"/>
      <c r="H1" s="23"/>
      <c r="I1" s="23"/>
      <c r="J1" s="23"/>
      <c r="K1" s="23"/>
    </row>
    <row r="2" spans="1:11" x14ac:dyDescent="0.25">
      <c r="A2" s="15">
        <v>-17</v>
      </c>
      <c r="B2" s="14">
        <v>2690</v>
      </c>
      <c r="C2" s="14">
        <f t="shared" ref="C2:C36" si="0">(A2*-1)-17</f>
        <v>0</v>
      </c>
      <c r="D2" s="14">
        <f>B2-2690</f>
        <v>0</v>
      </c>
    </row>
    <row r="3" spans="1:11" x14ac:dyDescent="0.25">
      <c r="A3" s="15">
        <v>-20</v>
      </c>
      <c r="B3" s="14">
        <v>2709</v>
      </c>
      <c r="C3" s="14">
        <f t="shared" si="0"/>
        <v>3</v>
      </c>
      <c r="D3" s="14">
        <f t="shared" ref="D3:D66" si="1">B3-2690</f>
        <v>19</v>
      </c>
    </row>
    <row r="4" spans="1:11" x14ac:dyDescent="0.25">
      <c r="A4" s="15">
        <v>-23</v>
      </c>
      <c r="B4" s="14">
        <v>2727</v>
      </c>
      <c r="C4" s="14">
        <f t="shared" si="0"/>
        <v>6</v>
      </c>
      <c r="D4" s="14">
        <f t="shared" si="1"/>
        <v>37</v>
      </c>
    </row>
    <row r="5" spans="1:11" x14ac:dyDescent="0.25">
      <c r="A5" s="15">
        <v>-26</v>
      </c>
      <c r="B5" s="14">
        <v>2746</v>
      </c>
      <c r="C5" s="14">
        <f t="shared" si="0"/>
        <v>9</v>
      </c>
      <c r="D5" s="14">
        <f t="shared" si="1"/>
        <v>56</v>
      </c>
    </row>
    <row r="6" spans="1:11" x14ac:dyDescent="0.25">
      <c r="A6" s="15">
        <v>-28</v>
      </c>
      <c r="B6" s="14">
        <v>2765</v>
      </c>
      <c r="C6" s="14">
        <f t="shared" si="0"/>
        <v>11</v>
      </c>
      <c r="D6" s="14">
        <f t="shared" si="1"/>
        <v>75</v>
      </c>
    </row>
    <row r="7" spans="1:11" x14ac:dyDescent="0.25">
      <c r="A7" s="15">
        <v>-30</v>
      </c>
      <c r="B7" s="14">
        <v>2784</v>
      </c>
      <c r="C7" s="14">
        <f t="shared" si="0"/>
        <v>13</v>
      </c>
      <c r="D7" s="14">
        <f t="shared" si="1"/>
        <v>94</v>
      </c>
    </row>
    <row r="8" spans="1:11" x14ac:dyDescent="0.25">
      <c r="A8" s="15">
        <v>-32</v>
      </c>
      <c r="B8" s="14">
        <v>2802</v>
      </c>
      <c r="C8" s="14">
        <f t="shared" si="0"/>
        <v>15</v>
      </c>
      <c r="D8" s="14">
        <f t="shared" si="1"/>
        <v>112</v>
      </c>
    </row>
    <row r="9" spans="1:11" x14ac:dyDescent="0.25">
      <c r="A9" s="15">
        <v>-35</v>
      </c>
      <c r="B9" s="14">
        <v>2821</v>
      </c>
      <c r="C9" s="14">
        <f t="shared" si="0"/>
        <v>18</v>
      </c>
      <c r="D9" s="14">
        <f t="shared" si="1"/>
        <v>131</v>
      </c>
    </row>
    <row r="10" spans="1:11" x14ac:dyDescent="0.25">
      <c r="A10" s="15">
        <v>-38</v>
      </c>
      <c r="B10" s="14">
        <v>2840</v>
      </c>
      <c r="C10" s="14">
        <f t="shared" si="0"/>
        <v>21</v>
      </c>
      <c r="D10" s="14">
        <f t="shared" si="1"/>
        <v>150</v>
      </c>
    </row>
    <row r="11" spans="1:11" x14ac:dyDescent="0.25">
      <c r="A11" s="15">
        <v>-40</v>
      </c>
      <c r="B11" s="14">
        <v>2859</v>
      </c>
      <c r="C11" s="14">
        <f t="shared" si="0"/>
        <v>23</v>
      </c>
      <c r="D11" s="14">
        <f t="shared" si="1"/>
        <v>169</v>
      </c>
    </row>
    <row r="12" spans="1:11" x14ac:dyDescent="0.25">
      <c r="A12" s="15">
        <v>-42</v>
      </c>
      <c r="B12" s="14">
        <v>2877</v>
      </c>
      <c r="C12" s="14">
        <f t="shared" si="0"/>
        <v>25</v>
      </c>
      <c r="D12" s="14">
        <f t="shared" si="1"/>
        <v>187</v>
      </c>
    </row>
    <row r="13" spans="1:11" x14ac:dyDescent="0.25">
      <c r="A13" s="15">
        <v>-45</v>
      </c>
      <c r="B13" s="14">
        <v>2895</v>
      </c>
      <c r="C13" s="14">
        <f t="shared" si="0"/>
        <v>28</v>
      </c>
      <c r="D13" s="14">
        <f t="shared" si="1"/>
        <v>205</v>
      </c>
    </row>
    <row r="14" spans="1:11" x14ac:dyDescent="0.25">
      <c r="A14" s="15">
        <v>-47</v>
      </c>
      <c r="B14" s="14">
        <v>2915</v>
      </c>
      <c r="C14" s="14">
        <f t="shared" si="0"/>
        <v>30</v>
      </c>
      <c r="D14" s="14">
        <f t="shared" si="1"/>
        <v>225</v>
      </c>
    </row>
    <row r="15" spans="1:11" x14ac:dyDescent="0.25">
      <c r="A15" s="15">
        <v>-50</v>
      </c>
      <c r="B15" s="14">
        <v>2933</v>
      </c>
      <c r="C15" s="14">
        <f t="shared" si="0"/>
        <v>33</v>
      </c>
      <c r="D15" s="14">
        <f t="shared" si="1"/>
        <v>243</v>
      </c>
    </row>
    <row r="16" spans="1:11" x14ac:dyDescent="0.25">
      <c r="A16" s="15">
        <v>-52</v>
      </c>
      <c r="B16" s="14">
        <v>2952</v>
      </c>
      <c r="C16" s="14">
        <f t="shared" si="0"/>
        <v>35</v>
      </c>
      <c r="D16" s="14">
        <f t="shared" si="1"/>
        <v>262</v>
      </c>
    </row>
    <row r="17" spans="1:4" x14ac:dyDescent="0.25">
      <c r="A17" s="15">
        <v>-55</v>
      </c>
      <c r="B17" s="14">
        <v>2971</v>
      </c>
      <c r="C17" s="14">
        <f t="shared" si="0"/>
        <v>38</v>
      </c>
      <c r="D17" s="14">
        <f t="shared" si="1"/>
        <v>281</v>
      </c>
    </row>
    <row r="18" spans="1:4" x14ac:dyDescent="0.25">
      <c r="A18" s="15">
        <v>-58</v>
      </c>
      <c r="B18" s="14">
        <v>2990</v>
      </c>
      <c r="C18" s="14">
        <f t="shared" si="0"/>
        <v>41</v>
      </c>
      <c r="D18" s="14">
        <f t="shared" si="1"/>
        <v>300</v>
      </c>
    </row>
    <row r="19" spans="1:4" x14ac:dyDescent="0.25">
      <c r="A19" s="15">
        <v>-60</v>
      </c>
      <c r="B19" s="14">
        <v>3008</v>
      </c>
      <c r="C19" s="14">
        <f t="shared" si="0"/>
        <v>43</v>
      </c>
      <c r="D19" s="14">
        <f t="shared" si="1"/>
        <v>318</v>
      </c>
    </row>
    <row r="20" spans="1:4" x14ac:dyDescent="0.25">
      <c r="A20" s="15">
        <v>-63</v>
      </c>
      <c r="B20" s="14">
        <v>3026</v>
      </c>
      <c r="C20" s="14">
        <f t="shared" si="0"/>
        <v>46</v>
      </c>
      <c r="D20" s="14">
        <f t="shared" si="1"/>
        <v>336</v>
      </c>
    </row>
    <row r="21" spans="1:4" x14ac:dyDescent="0.25">
      <c r="A21" s="15">
        <v>-66</v>
      </c>
      <c r="B21" s="14">
        <v>3046</v>
      </c>
      <c r="C21" s="14">
        <f t="shared" si="0"/>
        <v>49</v>
      </c>
      <c r="D21" s="14">
        <f t="shared" si="1"/>
        <v>356</v>
      </c>
    </row>
    <row r="22" spans="1:4" x14ac:dyDescent="0.25">
      <c r="A22" s="15">
        <v>-68</v>
      </c>
      <c r="B22" s="14">
        <v>3064</v>
      </c>
      <c r="C22" s="14">
        <f t="shared" si="0"/>
        <v>51</v>
      </c>
      <c r="D22" s="14">
        <f t="shared" si="1"/>
        <v>374</v>
      </c>
    </row>
    <row r="23" spans="1:4" x14ac:dyDescent="0.25">
      <c r="A23" s="15">
        <v>-71</v>
      </c>
      <c r="B23" s="14">
        <v>3083</v>
      </c>
      <c r="C23" s="14">
        <f t="shared" si="0"/>
        <v>54</v>
      </c>
      <c r="D23" s="14">
        <f t="shared" si="1"/>
        <v>393</v>
      </c>
    </row>
    <row r="24" spans="1:4" x14ac:dyDescent="0.25">
      <c r="A24" s="15">
        <v>-73</v>
      </c>
      <c r="B24" s="14">
        <v>3102</v>
      </c>
      <c r="C24" s="14">
        <f t="shared" si="0"/>
        <v>56</v>
      </c>
      <c r="D24" s="14">
        <f t="shared" si="1"/>
        <v>412</v>
      </c>
    </row>
    <row r="25" spans="1:4" x14ac:dyDescent="0.25">
      <c r="A25" s="15">
        <v>-76</v>
      </c>
      <c r="B25" s="14">
        <v>3121</v>
      </c>
      <c r="C25" s="14">
        <f t="shared" si="0"/>
        <v>59</v>
      </c>
      <c r="D25" s="14">
        <f t="shared" si="1"/>
        <v>431</v>
      </c>
    </row>
    <row r="26" spans="1:4" x14ac:dyDescent="0.25">
      <c r="A26" s="15">
        <v>-69</v>
      </c>
      <c r="B26" s="14">
        <v>3139</v>
      </c>
      <c r="C26" s="14">
        <f t="shared" si="0"/>
        <v>52</v>
      </c>
      <c r="D26" s="14">
        <f t="shared" si="1"/>
        <v>449</v>
      </c>
    </row>
    <row r="27" spans="1:4" x14ac:dyDescent="0.25">
      <c r="A27" s="15">
        <v>-81</v>
      </c>
      <c r="B27" s="14">
        <v>3158</v>
      </c>
      <c r="C27" s="14">
        <f t="shared" si="0"/>
        <v>64</v>
      </c>
      <c r="D27" s="14">
        <f t="shared" si="1"/>
        <v>468</v>
      </c>
    </row>
    <row r="28" spans="1:4" x14ac:dyDescent="0.25">
      <c r="A28" s="15">
        <v>-84</v>
      </c>
      <c r="B28" s="14">
        <v>3177</v>
      </c>
      <c r="C28" s="14">
        <f t="shared" si="0"/>
        <v>67</v>
      </c>
      <c r="D28" s="14">
        <f t="shared" si="1"/>
        <v>487</v>
      </c>
    </row>
    <row r="29" spans="1:4" x14ac:dyDescent="0.25">
      <c r="A29" s="15">
        <v>-76</v>
      </c>
      <c r="B29" s="14">
        <v>3195</v>
      </c>
      <c r="C29" s="14">
        <f t="shared" si="0"/>
        <v>59</v>
      </c>
      <c r="D29" s="14">
        <f t="shared" si="1"/>
        <v>505</v>
      </c>
    </row>
    <row r="30" spans="1:4" x14ac:dyDescent="0.25">
      <c r="A30" s="15">
        <v>-90</v>
      </c>
      <c r="B30" s="14">
        <v>3214</v>
      </c>
      <c r="C30" s="14">
        <f t="shared" si="0"/>
        <v>73</v>
      </c>
      <c r="D30" s="14">
        <f t="shared" si="1"/>
        <v>524</v>
      </c>
    </row>
    <row r="31" spans="1:4" x14ac:dyDescent="0.25">
      <c r="A31" s="15">
        <v>-93</v>
      </c>
      <c r="B31" s="14">
        <v>3233</v>
      </c>
      <c r="C31" s="14">
        <f t="shared" si="0"/>
        <v>76</v>
      </c>
      <c r="D31" s="14">
        <f t="shared" si="1"/>
        <v>543</v>
      </c>
    </row>
    <row r="32" spans="1:4" x14ac:dyDescent="0.25">
      <c r="A32" s="15">
        <v>-95</v>
      </c>
      <c r="B32" s="14">
        <v>3252</v>
      </c>
      <c r="C32" s="14">
        <f t="shared" si="0"/>
        <v>78</v>
      </c>
      <c r="D32" s="14">
        <f t="shared" si="1"/>
        <v>562</v>
      </c>
    </row>
    <row r="33" spans="1:4" x14ac:dyDescent="0.25">
      <c r="A33" s="15">
        <v>-98</v>
      </c>
      <c r="B33" s="14">
        <v>3270</v>
      </c>
      <c r="C33" s="14">
        <f t="shared" si="0"/>
        <v>81</v>
      </c>
      <c r="D33" s="14">
        <f t="shared" si="1"/>
        <v>580</v>
      </c>
    </row>
    <row r="34" spans="1:4" x14ac:dyDescent="0.25">
      <c r="A34" s="15">
        <v>-101</v>
      </c>
      <c r="B34" s="14">
        <v>3289</v>
      </c>
      <c r="C34" s="14">
        <f t="shared" si="0"/>
        <v>84</v>
      </c>
      <c r="D34" s="14">
        <f t="shared" si="1"/>
        <v>599</v>
      </c>
    </row>
    <row r="35" spans="1:4" x14ac:dyDescent="0.25">
      <c r="A35" s="15">
        <v>-105</v>
      </c>
      <c r="B35" s="14">
        <v>3309</v>
      </c>
      <c r="C35" s="14">
        <f t="shared" si="0"/>
        <v>88</v>
      </c>
      <c r="D35" s="14">
        <f t="shared" si="1"/>
        <v>619</v>
      </c>
    </row>
    <row r="36" spans="1:4" x14ac:dyDescent="0.25">
      <c r="A36" s="15">
        <v>-117</v>
      </c>
      <c r="B36" s="14">
        <v>3329</v>
      </c>
      <c r="C36" s="14">
        <f t="shared" si="0"/>
        <v>100</v>
      </c>
      <c r="D36" s="14">
        <f t="shared" si="1"/>
        <v>639</v>
      </c>
    </row>
    <row r="37" spans="1:4" x14ac:dyDescent="0.25">
      <c r="A37" s="15">
        <v>-111</v>
      </c>
      <c r="B37" s="14">
        <v>3348</v>
      </c>
      <c r="C37" s="14">
        <f t="shared" ref="C37:C77" si="2">(A37*-1)-17</f>
        <v>94</v>
      </c>
      <c r="D37" s="14">
        <f t="shared" si="1"/>
        <v>658</v>
      </c>
    </row>
    <row r="38" spans="1:4" x14ac:dyDescent="0.25">
      <c r="A38" s="15">
        <v>-114</v>
      </c>
      <c r="B38" s="14">
        <v>3368</v>
      </c>
      <c r="C38" s="14">
        <f t="shared" si="2"/>
        <v>97</v>
      </c>
      <c r="D38" s="14">
        <f t="shared" si="1"/>
        <v>678</v>
      </c>
    </row>
    <row r="39" spans="1:4" x14ac:dyDescent="0.25">
      <c r="A39" s="15">
        <v>-118</v>
      </c>
      <c r="B39" s="14">
        <v>3388</v>
      </c>
      <c r="C39" s="14">
        <f t="shared" si="2"/>
        <v>101</v>
      </c>
      <c r="D39" s="14">
        <f t="shared" si="1"/>
        <v>698</v>
      </c>
    </row>
    <row r="40" spans="1:4" x14ac:dyDescent="0.25">
      <c r="A40" s="15">
        <v>-121</v>
      </c>
      <c r="B40" s="14">
        <v>3407</v>
      </c>
      <c r="C40" s="14">
        <f t="shared" si="2"/>
        <v>104</v>
      </c>
      <c r="D40" s="14">
        <f t="shared" si="1"/>
        <v>717</v>
      </c>
    </row>
    <row r="41" spans="1:4" x14ac:dyDescent="0.25">
      <c r="A41" s="15">
        <v>-124</v>
      </c>
      <c r="B41" s="14">
        <v>3427</v>
      </c>
      <c r="C41" s="14">
        <f t="shared" si="2"/>
        <v>107</v>
      </c>
      <c r="D41" s="14">
        <f t="shared" si="1"/>
        <v>737</v>
      </c>
    </row>
    <row r="42" spans="1:4" x14ac:dyDescent="0.25">
      <c r="A42" s="15">
        <v>-128</v>
      </c>
      <c r="B42" s="14">
        <v>3447</v>
      </c>
      <c r="C42" s="14">
        <f t="shared" si="2"/>
        <v>111</v>
      </c>
      <c r="D42" s="14">
        <f t="shared" si="1"/>
        <v>757</v>
      </c>
    </row>
    <row r="43" spans="1:4" x14ac:dyDescent="0.25">
      <c r="A43" s="15">
        <v>-131</v>
      </c>
      <c r="B43" s="14">
        <v>3467</v>
      </c>
      <c r="C43" s="14">
        <f t="shared" si="2"/>
        <v>114</v>
      </c>
      <c r="D43" s="14">
        <f t="shared" si="1"/>
        <v>777</v>
      </c>
    </row>
    <row r="44" spans="1:4" x14ac:dyDescent="0.25">
      <c r="A44" s="15">
        <v>-134</v>
      </c>
      <c r="B44" s="14">
        <v>3486</v>
      </c>
      <c r="C44" s="14">
        <f t="shared" si="2"/>
        <v>117</v>
      </c>
      <c r="D44" s="14">
        <f t="shared" si="1"/>
        <v>796</v>
      </c>
    </row>
    <row r="45" spans="1:4" x14ac:dyDescent="0.25">
      <c r="A45" s="15">
        <v>-138</v>
      </c>
      <c r="B45" s="14">
        <v>3507</v>
      </c>
      <c r="C45" s="14">
        <f t="shared" si="2"/>
        <v>121</v>
      </c>
      <c r="D45" s="14">
        <f t="shared" si="1"/>
        <v>817</v>
      </c>
    </row>
    <row r="46" spans="1:4" x14ac:dyDescent="0.25">
      <c r="A46" s="15">
        <v>-141</v>
      </c>
      <c r="B46" s="14">
        <v>3526</v>
      </c>
      <c r="C46" s="14">
        <f t="shared" si="2"/>
        <v>124</v>
      </c>
      <c r="D46" s="14">
        <f t="shared" si="1"/>
        <v>836</v>
      </c>
    </row>
    <row r="47" spans="1:4" x14ac:dyDescent="0.25">
      <c r="A47" s="15">
        <v>-145</v>
      </c>
      <c r="B47" s="14">
        <v>3546</v>
      </c>
      <c r="C47" s="14">
        <f t="shared" si="2"/>
        <v>128</v>
      </c>
      <c r="D47" s="14">
        <f t="shared" si="1"/>
        <v>856</v>
      </c>
    </row>
    <row r="48" spans="1:4" x14ac:dyDescent="0.25">
      <c r="A48" s="15">
        <v>-148</v>
      </c>
      <c r="B48" s="14">
        <v>3566</v>
      </c>
      <c r="C48" s="14">
        <f t="shared" si="2"/>
        <v>131</v>
      </c>
      <c r="D48" s="14">
        <f t="shared" si="1"/>
        <v>876</v>
      </c>
    </row>
    <row r="49" spans="1:4" x14ac:dyDescent="0.25">
      <c r="A49" s="15">
        <v>-152</v>
      </c>
      <c r="B49" s="14">
        <v>3586</v>
      </c>
      <c r="C49" s="14">
        <f t="shared" si="2"/>
        <v>135</v>
      </c>
      <c r="D49" s="14">
        <f t="shared" si="1"/>
        <v>896</v>
      </c>
    </row>
    <row r="50" spans="1:4" x14ac:dyDescent="0.25">
      <c r="A50" s="15">
        <v>-159</v>
      </c>
      <c r="B50" s="14">
        <v>3605</v>
      </c>
      <c r="C50" s="14">
        <f t="shared" si="2"/>
        <v>142</v>
      </c>
      <c r="D50" s="14">
        <f t="shared" si="1"/>
        <v>915</v>
      </c>
    </row>
    <row r="51" spans="1:4" x14ac:dyDescent="0.25">
      <c r="A51" s="15">
        <v>-160</v>
      </c>
      <c r="B51" s="14">
        <v>3624</v>
      </c>
      <c r="C51" s="14">
        <f t="shared" si="2"/>
        <v>143</v>
      </c>
      <c r="D51" s="14">
        <f t="shared" si="1"/>
        <v>934</v>
      </c>
    </row>
    <row r="52" spans="1:4" x14ac:dyDescent="0.25">
      <c r="A52" s="15">
        <v>-164</v>
      </c>
      <c r="B52" s="14">
        <v>3645</v>
      </c>
      <c r="C52" s="14">
        <f t="shared" si="2"/>
        <v>147</v>
      </c>
      <c r="D52" s="14">
        <f t="shared" si="1"/>
        <v>955</v>
      </c>
    </row>
    <row r="53" spans="1:4" x14ac:dyDescent="0.25">
      <c r="A53" s="15">
        <v>-168</v>
      </c>
      <c r="B53" s="14">
        <v>3664</v>
      </c>
      <c r="C53" s="14">
        <f t="shared" si="2"/>
        <v>151</v>
      </c>
      <c r="D53" s="14">
        <f t="shared" si="1"/>
        <v>974</v>
      </c>
    </row>
    <row r="54" spans="1:4" x14ac:dyDescent="0.25">
      <c r="A54" s="15">
        <v>-173</v>
      </c>
      <c r="B54" s="14">
        <v>3684</v>
      </c>
      <c r="C54" s="14">
        <f t="shared" si="2"/>
        <v>156</v>
      </c>
      <c r="D54" s="14">
        <f t="shared" si="1"/>
        <v>994</v>
      </c>
    </row>
    <row r="55" spans="1:4" x14ac:dyDescent="0.25">
      <c r="A55" s="15">
        <v>-177</v>
      </c>
      <c r="B55" s="14">
        <v>3704</v>
      </c>
      <c r="C55" s="14">
        <f t="shared" si="2"/>
        <v>160</v>
      </c>
      <c r="D55" s="14">
        <f t="shared" si="1"/>
        <v>1014</v>
      </c>
    </row>
    <row r="56" spans="1:4" x14ac:dyDescent="0.25">
      <c r="A56" s="15">
        <v>-182</v>
      </c>
      <c r="B56" s="14">
        <v>3724</v>
      </c>
      <c r="C56" s="14">
        <f t="shared" si="2"/>
        <v>165</v>
      </c>
      <c r="D56" s="14">
        <f t="shared" si="1"/>
        <v>1034</v>
      </c>
    </row>
    <row r="57" spans="1:4" x14ac:dyDescent="0.25">
      <c r="A57" s="15">
        <v>-186</v>
      </c>
      <c r="B57" s="14">
        <v>3743</v>
      </c>
      <c r="C57" s="14">
        <f t="shared" si="2"/>
        <v>169</v>
      </c>
      <c r="D57" s="14">
        <f t="shared" si="1"/>
        <v>1053</v>
      </c>
    </row>
    <row r="58" spans="1:4" x14ac:dyDescent="0.25">
      <c r="A58" s="15">
        <v>-190</v>
      </c>
      <c r="B58" s="14">
        <v>3764</v>
      </c>
      <c r="C58" s="14">
        <f t="shared" si="2"/>
        <v>173</v>
      </c>
      <c r="D58" s="14">
        <f t="shared" si="1"/>
        <v>1074</v>
      </c>
    </row>
    <row r="59" spans="1:4" x14ac:dyDescent="0.25">
      <c r="A59" s="15">
        <v>-192</v>
      </c>
      <c r="B59" s="14">
        <v>3783</v>
      </c>
      <c r="C59" s="14">
        <f t="shared" si="2"/>
        <v>175</v>
      </c>
      <c r="D59" s="14">
        <f t="shared" si="1"/>
        <v>1093</v>
      </c>
    </row>
    <row r="60" spans="1:4" x14ac:dyDescent="0.25">
      <c r="A60" s="15">
        <v>-197</v>
      </c>
      <c r="B60" s="14">
        <v>3803</v>
      </c>
      <c r="C60" s="14">
        <f t="shared" si="2"/>
        <v>180</v>
      </c>
      <c r="D60" s="14">
        <f t="shared" si="1"/>
        <v>1113</v>
      </c>
    </row>
    <row r="61" spans="1:4" x14ac:dyDescent="0.25">
      <c r="A61" s="15">
        <v>-200</v>
      </c>
      <c r="B61" s="14">
        <v>3822</v>
      </c>
      <c r="C61" s="14">
        <f t="shared" si="2"/>
        <v>183</v>
      </c>
      <c r="D61" s="14">
        <f t="shared" si="1"/>
        <v>1132</v>
      </c>
    </row>
    <row r="62" spans="1:4" x14ac:dyDescent="0.25">
      <c r="A62" s="15">
        <v>-204</v>
      </c>
      <c r="B62" s="14">
        <v>3843</v>
      </c>
      <c r="C62" s="14">
        <f t="shared" si="2"/>
        <v>187</v>
      </c>
      <c r="D62" s="14">
        <f t="shared" si="1"/>
        <v>1153</v>
      </c>
    </row>
    <row r="63" spans="1:4" x14ac:dyDescent="0.25">
      <c r="A63" s="15">
        <v>-208</v>
      </c>
      <c r="B63" s="14">
        <v>3862</v>
      </c>
      <c r="C63" s="14">
        <f t="shared" si="2"/>
        <v>191</v>
      </c>
      <c r="D63" s="14">
        <f t="shared" si="1"/>
        <v>1172</v>
      </c>
    </row>
    <row r="64" spans="1:4" x14ac:dyDescent="0.25">
      <c r="A64" s="15">
        <v>-211</v>
      </c>
      <c r="B64" s="14">
        <v>3881</v>
      </c>
      <c r="C64" s="14">
        <f t="shared" si="2"/>
        <v>194</v>
      </c>
      <c r="D64" s="14">
        <f t="shared" si="1"/>
        <v>1191</v>
      </c>
    </row>
    <row r="65" spans="1:11" x14ac:dyDescent="0.25">
      <c r="A65" s="15">
        <v>-215</v>
      </c>
      <c r="B65" s="14">
        <v>3902</v>
      </c>
      <c r="C65" s="14">
        <f t="shared" si="2"/>
        <v>198</v>
      </c>
      <c r="D65" s="14">
        <f t="shared" si="1"/>
        <v>1212</v>
      </c>
    </row>
    <row r="66" spans="1:11" x14ac:dyDescent="0.25">
      <c r="A66" s="15">
        <v>-214</v>
      </c>
      <c r="B66" s="14">
        <v>3921</v>
      </c>
      <c r="C66" s="14">
        <f t="shared" si="2"/>
        <v>197</v>
      </c>
      <c r="D66" s="14">
        <f t="shared" si="1"/>
        <v>1231</v>
      </c>
    </row>
    <row r="67" spans="1:11" x14ac:dyDescent="0.25">
      <c r="A67" s="15">
        <v>-222</v>
      </c>
      <c r="B67" s="14">
        <v>3941</v>
      </c>
      <c r="C67" s="14">
        <f t="shared" si="2"/>
        <v>205</v>
      </c>
      <c r="D67" s="14">
        <f t="shared" ref="D67:D77" si="3">B67-2690</f>
        <v>1251</v>
      </c>
    </row>
    <row r="68" spans="1:11" x14ac:dyDescent="0.25">
      <c r="A68" s="15">
        <v>-226</v>
      </c>
      <c r="B68" s="14">
        <v>3960</v>
      </c>
      <c r="C68" s="14">
        <f t="shared" si="2"/>
        <v>209</v>
      </c>
      <c r="D68" s="14">
        <f t="shared" si="3"/>
        <v>1270</v>
      </c>
    </row>
    <row r="69" spans="1:11" x14ac:dyDescent="0.25">
      <c r="A69" s="15">
        <v>-229</v>
      </c>
      <c r="B69" s="14">
        <v>3981</v>
      </c>
      <c r="C69" s="14">
        <f t="shared" si="2"/>
        <v>212</v>
      </c>
      <c r="D69" s="14">
        <f t="shared" si="3"/>
        <v>1291</v>
      </c>
    </row>
    <row r="70" spans="1:11" x14ac:dyDescent="0.25">
      <c r="A70" s="15">
        <v>-226</v>
      </c>
      <c r="B70" s="14">
        <v>4000</v>
      </c>
      <c r="C70" s="14">
        <f t="shared" si="2"/>
        <v>209</v>
      </c>
      <c r="D70" s="14">
        <f t="shared" si="3"/>
        <v>1310</v>
      </c>
    </row>
    <row r="71" spans="1:11" x14ac:dyDescent="0.25">
      <c r="A71" s="15">
        <v>-237</v>
      </c>
      <c r="B71" s="14">
        <v>4020</v>
      </c>
      <c r="C71" s="14">
        <f t="shared" si="2"/>
        <v>220</v>
      </c>
      <c r="D71" s="14">
        <f t="shared" si="3"/>
        <v>1330</v>
      </c>
    </row>
    <row r="72" spans="1:11" x14ac:dyDescent="0.25">
      <c r="A72" s="15">
        <v>-240</v>
      </c>
      <c r="B72" s="14">
        <v>4040</v>
      </c>
      <c r="C72" s="14">
        <f t="shared" si="2"/>
        <v>223</v>
      </c>
      <c r="D72" s="14">
        <f t="shared" si="3"/>
        <v>1350</v>
      </c>
    </row>
    <row r="73" spans="1:11" x14ac:dyDescent="0.25">
      <c r="A73" s="15">
        <v>-236</v>
      </c>
      <c r="B73" s="14">
        <v>4060</v>
      </c>
      <c r="C73" s="14">
        <f t="shared" si="2"/>
        <v>219</v>
      </c>
      <c r="D73" s="14">
        <f t="shared" si="3"/>
        <v>1370</v>
      </c>
      <c r="F73" s="24" t="s">
        <v>9</v>
      </c>
      <c r="G73" s="25" t="s">
        <v>10</v>
      </c>
      <c r="H73" s="25" t="s">
        <v>11</v>
      </c>
      <c r="I73" s="25" t="s">
        <v>12</v>
      </c>
      <c r="J73" s="25" t="s">
        <v>13</v>
      </c>
      <c r="K73" s="25" t="s">
        <v>14</v>
      </c>
    </row>
    <row r="74" spans="1:11" x14ac:dyDescent="0.25">
      <c r="A74" s="15">
        <v>-248</v>
      </c>
      <c r="B74" s="14">
        <v>4079</v>
      </c>
      <c r="C74" s="14">
        <f t="shared" si="2"/>
        <v>231</v>
      </c>
      <c r="D74" s="14">
        <f t="shared" si="3"/>
        <v>1389</v>
      </c>
      <c r="F74" s="26">
        <f>D75</f>
        <v>1410</v>
      </c>
      <c r="G74" s="27">
        <f>C75</f>
        <v>234</v>
      </c>
      <c r="H74" s="27">
        <f>D76</f>
        <v>1429</v>
      </c>
      <c r="I74" s="27">
        <f>C76</f>
        <v>238</v>
      </c>
      <c r="J74" s="25">
        <v>6.1049642290000001</v>
      </c>
      <c r="K74" s="25">
        <f>RADIANS(((G74-I74)/(F74-H74))*1000)</f>
        <v>3.6743773726196407</v>
      </c>
    </row>
    <row r="75" spans="1:11" x14ac:dyDescent="0.25">
      <c r="A75" s="15">
        <v>-251</v>
      </c>
      <c r="B75" s="14">
        <v>4100</v>
      </c>
      <c r="C75" s="14">
        <f t="shared" si="2"/>
        <v>234</v>
      </c>
      <c r="D75" s="14">
        <f t="shared" si="3"/>
        <v>1410</v>
      </c>
      <c r="F75" s="24" t="s">
        <v>15</v>
      </c>
      <c r="G75" s="25">
        <f>(I74-G74)/(H74-F74)</f>
        <v>0.21052631578947367</v>
      </c>
      <c r="H75" s="25" t="s">
        <v>16</v>
      </c>
      <c r="I75" s="25">
        <f>I74-G75*H74</f>
        <v>-62.842105263157862</v>
      </c>
    </row>
    <row r="76" spans="1:11" x14ac:dyDescent="0.25">
      <c r="A76" s="15">
        <v>-255</v>
      </c>
      <c r="B76" s="14">
        <v>4119</v>
      </c>
      <c r="C76" s="14">
        <f t="shared" si="2"/>
        <v>238</v>
      </c>
      <c r="D76" s="14">
        <f t="shared" si="3"/>
        <v>1429</v>
      </c>
      <c r="F76" s="24" t="s">
        <v>17</v>
      </c>
      <c r="G76" s="25">
        <f>J74/K74</f>
        <v>1.6614962509001836</v>
      </c>
      <c r="H76" s="25" t="s">
        <v>18</v>
      </c>
      <c r="I76" s="25">
        <f>-I75/G75</f>
        <v>298.49999999999989</v>
      </c>
    </row>
    <row r="77" spans="1:11" x14ac:dyDescent="0.25">
      <c r="D77" s="14"/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9.1796875" defaultRowHeight="12.5" x14ac:dyDescent="0.25"/>
  <cols>
    <col min="1" max="1" width="18.26953125" style="5" customWidth="1"/>
    <col min="2" max="2" width="8.453125" style="12" customWidth="1"/>
    <col min="3" max="3" width="9.26953125" style="1" customWidth="1"/>
    <col min="4" max="4" width="6.81640625" style="1" customWidth="1"/>
    <col min="5" max="5" width="2.7265625" style="1" customWidth="1"/>
    <col min="6" max="6" width="2.1796875" style="1" customWidth="1"/>
    <col min="7" max="7" width="2.54296875" style="1" customWidth="1"/>
    <col min="8" max="8" width="2.26953125" style="1" customWidth="1"/>
    <col min="9" max="9" width="2.453125" style="1" customWidth="1"/>
    <col min="10" max="10" width="2" style="1" customWidth="1"/>
    <col min="11" max="11" width="18.7265625" customWidth="1"/>
  </cols>
  <sheetData>
    <row r="1" spans="1:11" s="3" customFormat="1" ht="45.75" customHeight="1" x14ac:dyDescent="0.3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9.1796875" defaultRowHeight="12.5" x14ac:dyDescent="0.25"/>
  <cols>
    <col min="1" max="1" width="22.453125" customWidth="1"/>
    <col min="5" max="5" width="26.453125" customWidth="1"/>
  </cols>
  <sheetData>
    <row r="1" spans="1:5" ht="42" customHeight="1" x14ac:dyDescent="0.3">
      <c r="A1" s="13" t="s">
        <v>1</v>
      </c>
      <c r="E1" s="4" t="s">
        <v>0</v>
      </c>
    </row>
    <row r="3" spans="1:5" ht="13" thickBot="1" x14ac:dyDescent="0.3"/>
    <row r="4" spans="1:5" ht="13.5" thickBot="1" x14ac:dyDescent="0.35">
      <c r="A4" s="7"/>
      <c r="B4" s="10"/>
      <c r="C4" s="17"/>
      <c r="E4" s="22"/>
    </row>
    <row r="5" spans="1:5" ht="13.5" thickBot="1" x14ac:dyDescent="0.35">
      <c r="A5" s="8"/>
      <c r="B5" s="9"/>
    </row>
    <row r="6" spans="1:5" ht="13" x14ac:dyDescent="0.3">
      <c r="A6" s="18"/>
      <c r="B6" s="19"/>
    </row>
    <row r="7" spans="1:5" ht="13.5" thickBot="1" x14ac:dyDescent="0.35">
      <c r="A7" s="20"/>
      <c r="B7" s="21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Yovany Vargas</cp:lastModifiedBy>
  <dcterms:created xsi:type="dcterms:W3CDTF">2002-07-12T16:49:39Z</dcterms:created>
  <dcterms:modified xsi:type="dcterms:W3CDTF">2024-08-27T02:33:46Z</dcterms:modified>
</cp:coreProperties>
</file>